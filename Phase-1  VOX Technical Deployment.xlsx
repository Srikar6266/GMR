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lrservicessp-my.sharepoint.com/personal/gaikwad_sandip_clrservices_com/Documents/Desktop/VOX/"/>
    </mc:Choice>
  </mc:AlternateContent>
  <xr:revisionPtr revIDLastSave="83" documentId="8_{E7C9F138-A1AF-4059-B8BC-A521DAFE22E0}" xr6:coauthVersionLast="47" xr6:coauthVersionMax="47" xr10:uidLastSave="{5B325FCE-A89F-484E-9976-2785BA31EB14}"/>
  <bookViews>
    <workbookView xWindow="-110" yWindow="-110" windowWidth="19420" windowHeight="10300" tabRatio="750" activeTab="2" xr2:uid="{00000000-000D-0000-FFFF-FFFF00000000}"/>
  </bookViews>
  <sheets>
    <sheet name="CLR quotation" sheetId="1" r:id="rId1"/>
    <sheet name="Ph-1 proposal" sheetId="8" r:id="rId2"/>
    <sheet name="Phase-1 details " sheetId="9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8" l="1"/>
  <c r="D164" i="9"/>
  <c r="D138" i="9"/>
  <c r="D139" i="9" s="1"/>
  <c r="D112" i="9"/>
  <c r="D97" i="9"/>
  <c r="D82" i="9"/>
  <c r="D72" i="9"/>
  <c r="D58" i="9"/>
  <c r="D41" i="9"/>
  <c r="D13" i="9"/>
  <c r="D98" i="9" l="1"/>
  <c r="B6" i="9"/>
  <c r="B7" i="9" s="1"/>
  <c r="B8" i="9" s="1"/>
  <c r="B9" i="9" s="1"/>
  <c r="B10" i="9" s="1"/>
  <c r="B11" i="9" s="1"/>
  <c r="B12" i="9" s="1"/>
  <c r="J91" i="1"/>
  <c r="J90" i="1"/>
  <c r="J89" i="1"/>
  <c r="J88" i="1"/>
  <c r="J87" i="1"/>
  <c r="J86" i="1"/>
  <c r="J85" i="1"/>
  <c r="J84" i="1"/>
  <c r="J83" i="1"/>
  <c r="J79" i="1"/>
  <c r="J77" i="1"/>
  <c r="J76" i="1"/>
  <c r="J75" i="1"/>
  <c r="J74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3" i="1"/>
  <c r="J52" i="1"/>
  <c r="J51" i="1"/>
  <c r="J47" i="1"/>
  <c r="J46" i="1"/>
  <c r="J45" i="1"/>
  <c r="J44" i="1"/>
  <c r="J43" i="1"/>
  <c r="J42" i="1"/>
  <c r="J41" i="1"/>
  <c r="J40" i="1"/>
  <c r="J39" i="1"/>
  <c r="J38" i="1"/>
  <c r="J34" i="1"/>
  <c r="J33" i="1"/>
  <c r="J32" i="1"/>
  <c r="J31" i="1"/>
  <c r="J30" i="1"/>
  <c r="J29" i="1"/>
  <c r="J28" i="1"/>
  <c r="J27" i="1"/>
  <c r="J26" i="1"/>
  <c r="J25" i="1"/>
  <c r="J24" i="1"/>
  <c r="J20" i="1"/>
  <c r="J19" i="1"/>
  <c r="J15" i="1"/>
  <c r="J14" i="1"/>
  <c r="J13" i="1"/>
  <c r="J12" i="1"/>
  <c r="J11" i="1"/>
  <c r="J10" i="1"/>
  <c r="J9" i="1"/>
  <c r="B9" i="1"/>
  <c r="J8" i="1"/>
  <c r="J92" i="1" l="1"/>
  <c r="J71" i="1"/>
  <c r="J48" i="1"/>
  <c r="J16" i="1"/>
  <c r="B10" i="1"/>
  <c r="B11" i="1" s="1"/>
  <c r="B12" i="1" s="1"/>
  <c r="B13" i="1" s="1"/>
  <c r="B14" i="1" s="1"/>
  <c r="B15" i="1" s="1"/>
  <c r="J35" i="1"/>
  <c r="J80" i="1"/>
  <c r="J54" i="1"/>
  <c r="J21" i="1"/>
  <c r="J94" i="1" l="1"/>
  <c r="B19" i="9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<sst xmlns="http://schemas.openxmlformats.org/spreadsheetml/2006/main" count="424" uniqueCount="193">
  <si>
    <t xml:space="preserve">Consolidated Cost Summary </t>
  </si>
  <si>
    <t>A</t>
  </si>
  <si>
    <t>Site Management Team</t>
  </si>
  <si>
    <t>S. No.</t>
  </si>
  <si>
    <t>Description</t>
  </si>
  <si>
    <t>UOM</t>
  </si>
  <si>
    <t>Genral Shift</t>
  </si>
  <si>
    <t>Shift 1</t>
  </si>
  <si>
    <t xml:space="preserve">Shift 2 </t>
  </si>
  <si>
    <t>Shift -3</t>
  </si>
  <si>
    <t>Reliever</t>
  </si>
  <si>
    <t>Total manpower</t>
  </si>
  <si>
    <t>Site Head (GM)</t>
  </si>
  <si>
    <t>Nos</t>
  </si>
  <si>
    <t>Sr. Manager (Mechanical)</t>
  </si>
  <si>
    <t>Sr. Manager (Electrical)</t>
  </si>
  <si>
    <t>Sr. Manager (Civil)</t>
  </si>
  <si>
    <t xml:space="preserve">HSE &amp; Compliance Manager </t>
  </si>
  <si>
    <t>HR Manager</t>
  </si>
  <si>
    <t>MIS Executive</t>
  </si>
  <si>
    <t>Materials Manager</t>
  </si>
  <si>
    <t>Sub Total A</t>
  </si>
  <si>
    <t>B</t>
  </si>
  <si>
    <t>SCADA &amp; Helpdesk Team</t>
  </si>
  <si>
    <t>Desk Engineer (SCADA)</t>
  </si>
  <si>
    <t>Help Desk Executive</t>
  </si>
  <si>
    <t>Sub Total B</t>
  </si>
  <si>
    <t xml:space="preserve">C </t>
  </si>
  <si>
    <t>Mechanical &amp; HVAC Team</t>
  </si>
  <si>
    <t>Asst. Manager</t>
  </si>
  <si>
    <t>Shift Engineer</t>
  </si>
  <si>
    <t>Sr Technician</t>
  </si>
  <si>
    <t>Technician</t>
  </si>
  <si>
    <t>Tech Associate Mech.</t>
  </si>
  <si>
    <t>PM Technician HVAC</t>
  </si>
  <si>
    <t>Fitter Mechanical</t>
  </si>
  <si>
    <t>WTP/STP Chemist</t>
  </si>
  <si>
    <t>WTP Operator</t>
  </si>
  <si>
    <t>STP Operator</t>
  </si>
  <si>
    <t>WTP/STP Helper</t>
  </si>
  <si>
    <t>C</t>
  </si>
  <si>
    <t>Sub Total C</t>
  </si>
  <si>
    <t>D</t>
  </si>
  <si>
    <t>Electrical Team</t>
  </si>
  <si>
    <t>General Shift</t>
  </si>
  <si>
    <t>Asst Manager</t>
  </si>
  <si>
    <t xml:space="preserve">Shift Engineer </t>
  </si>
  <si>
    <t>Sr. Technician Ops</t>
  </si>
  <si>
    <t>Electrician - Ops</t>
  </si>
  <si>
    <t>MST</t>
  </si>
  <si>
    <t>Tech Associate Electrical</t>
  </si>
  <si>
    <t>Engineer PM</t>
  </si>
  <si>
    <t>Sr Technician PM</t>
  </si>
  <si>
    <t>Electrician PM</t>
  </si>
  <si>
    <t>Solar Technician</t>
  </si>
  <si>
    <t>Sub Total D</t>
  </si>
  <si>
    <t>E</t>
  </si>
  <si>
    <t>Fire Team</t>
  </si>
  <si>
    <t>Safety Officer</t>
  </si>
  <si>
    <t xml:space="preserve">Supervisor </t>
  </si>
  <si>
    <t xml:space="preserve">Fire Technician </t>
  </si>
  <si>
    <t>Sub Total E</t>
  </si>
  <si>
    <t>F</t>
  </si>
  <si>
    <t>Civil Team</t>
  </si>
  <si>
    <t>Civil Engineer</t>
  </si>
  <si>
    <t>Supervisor Civil</t>
  </si>
  <si>
    <t>Mason</t>
  </si>
  <si>
    <t>Carpenter</t>
  </si>
  <si>
    <t>Civil Helper</t>
  </si>
  <si>
    <t xml:space="preserve">Welder  </t>
  </si>
  <si>
    <t>Civil Fitter</t>
  </si>
  <si>
    <t>Painter</t>
  </si>
  <si>
    <t>ACP &amp; Glass</t>
  </si>
  <si>
    <t>Runway Team</t>
  </si>
  <si>
    <t>Plumber</t>
  </si>
  <si>
    <t>Pump Operator</t>
  </si>
  <si>
    <t>Sewerman  &amp; Drainage</t>
  </si>
  <si>
    <t>Stores Exe</t>
  </si>
  <si>
    <t>Sub Total F</t>
  </si>
  <si>
    <t>G</t>
  </si>
  <si>
    <t>Motor Transport</t>
  </si>
  <si>
    <t>MT Supervisor</t>
  </si>
  <si>
    <t>Motor Technician</t>
  </si>
  <si>
    <t>Motor Electrician</t>
  </si>
  <si>
    <t>Tyre Technician</t>
  </si>
  <si>
    <t>Driver (For CLR Vehicles)</t>
  </si>
  <si>
    <t>Sub Total G</t>
  </si>
  <si>
    <t>H</t>
  </si>
  <si>
    <t>Landside Facilities manpower (Residential, School, Ancillary Facilties)</t>
  </si>
  <si>
    <t>Supervisor / Engineer L</t>
  </si>
  <si>
    <t>Technician (HVAC) L</t>
  </si>
  <si>
    <t>Electrician L</t>
  </si>
  <si>
    <t>Mason L</t>
  </si>
  <si>
    <t>Painter L</t>
  </si>
  <si>
    <t>Plumber L</t>
  </si>
  <si>
    <t>Carpenter L</t>
  </si>
  <si>
    <t>Sewerman  &amp; Drainage L</t>
  </si>
  <si>
    <t>Helper L</t>
  </si>
  <si>
    <t>Sub Total H</t>
  </si>
  <si>
    <t>TOTAL MANPOWER</t>
  </si>
  <si>
    <t xml:space="preserve">Driver  </t>
  </si>
  <si>
    <t>ELECTRICAL DEPLOYMENT - GVIAL</t>
  </si>
  <si>
    <t>AREA/SERVICE</t>
  </si>
  <si>
    <t>DESIGNATION</t>
  </si>
  <si>
    <t>Total</t>
  </si>
  <si>
    <t>PTB</t>
  </si>
  <si>
    <t>Shift Engineers</t>
  </si>
  <si>
    <t>Floor Technicians</t>
  </si>
  <si>
    <t>Substation Operators</t>
  </si>
  <si>
    <t>PPM Techinician (Sr)</t>
  </si>
  <si>
    <t>PPM Technician</t>
  </si>
  <si>
    <t>Helper (Tech-Ass-ELE)</t>
  </si>
  <si>
    <t>ALS</t>
  </si>
  <si>
    <t>Overall ALS</t>
  </si>
  <si>
    <t>AIRSIDE</t>
  </si>
  <si>
    <t>Airside</t>
  </si>
  <si>
    <t>Technicians (MST)</t>
  </si>
  <si>
    <t>High Mast</t>
  </si>
  <si>
    <t>High Mast Operator (Technicians)</t>
  </si>
  <si>
    <t>High Mast PPM (Sr Technician)</t>
  </si>
  <si>
    <t>LANDSIDE</t>
  </si>
  <si>
    <t>Landside</t>
  </si>
  <si>
    <t xml:space="preserve">Sr Technicians </t>
  </si>
  <si>
    <t xml:space="preserve">Technicians </t>
  </si>
  <si>
    <t>MRSS (Including DG operation)</t>
  </si>
  <si>
    <t>MRSS Operators (Sr Technician)</t>
  </si>
  <si>
    <t>MRSS Operators (Technician)</t>
  </si>
  <si>
    <t>HT &amp; LT PPM</t>
  </si>
  <si>
    <t>HT PPM Technicians (Sr)</t>
  </si>
  <si>
    <t>LT PPM Technician (Sr)</t>
  </si>
  <si>
    <t xml:space="preserve">LT PPM Technician </t>
  </si>
  <si>
    <t>LT PPM Technician (Solar Technician)</t>
  </si>
  <si>
    <t>HVAC Floor Technicians</t>
  </si>
  <si>
    <t>HVAC PPM Technician</t>
  </si>
  <si>
    <t>Helper  PPM(Tech-Ass-Mec)</t>
  </si>
  <si>
    <t>HVAC Sr Technicians ( chller plant)</t>
  </si>
  <si>
    <t>Helper (Tech-Ass-Mec) chiller plant</t>
  </si>
  <si>
    <t>Chiller plant</t>
  </si>
  <si>
    <t>Helper Tech Associate Mech.</t>
  </si>
  <si>
    <t>ATC</t>
  </si>
  <si>
    <t>Admin building</t>
  </si>
  <si>
    <t>Technician-mech</t>
  </si>
  <si>
    <t>Plumbing -Tech</t>
  </si>
  <si>
    <t>Helper Tech Associate Plu</t>
  </si>
  <si>
    <t>Sewage pump operator</t>
  </si>
  <si>
    <t>MECHANICAL DEPLOYMENT - GVIAL</t>
  </si>
  <si>
    <t>Helper (Tech-Ass-Mec)</t>
  </si>
  <si>
    <t>Plumbing PPM Technican</t>
  </si>
  <si>
    <t>Plumbing Technican</t>
  </si>
  <si>
    <t>AIRSIDE &amp; Landside building</t>
  </si>
  <si>
    <t>WTP Helper</t>
  </si>
  <si>
    <t xml:space="preserve">CFR Satelite </t>
  </si>
  <si>
    <t>Pump operator</t>
  </si>
  <si>
    <t>RO/  firepump room</t>
  </si>
  <si>
    <t>WTP</t>
  </si>
  <si>
    <t>WTP techinican</t>
  </si>
  <si>
    <t xml:space="preserve">ALS QRT </t>
  </si>
  <si>
    <t>STP</t>
  </si>
  <si>
    <t>STP operator</t>
  </si>
  <si>
    <t>STP helper</t>
  </si>
  <si>
    <t>STP incharge</t>
  </si>
  <si>
    <t>Helper Utility building</t>
  </si>
  <si>
    <t xml:space="preserve">Total </t>
  </si>
  <si>
    <t xml:space="preserve">Grand Total </t>
  </si>
  <si>
    <t>CIVIL DEPLOYMENT - GVIAL</t>
  </si>
  <si>
    <t>Engr</t>
  </si>
  <si>
    <t>Supervisior</t>
  </si>
  <si>
    <t>Admin</t>
  </si>
  <si>
    <t>Grand Total</t>
  </si>
  <si>
    <t xml:space="preserve"> Engineers</t>
  </si>
  <si>
    <t>ELV(BMS , FAS,PMS, PIDS &amp; LCMS) DEPLOYMENT - GVIAL</t>
  </si>
  <si>
    <t>Toatl</t>
  </si>
  <si>
    <t xml:space="preserve">Grand total </t>
  </si>
  <si>
    <t>S.No</t>
  </si>
  <si>
    <t>Civil</t>
  </si>
  <si>
    <t>ELV</t>
  </si>
  <si>
    <t>Elec</t>
  </si>
  <si>
    <t>Mech</t>
  </si>
  <si>
    <t>Other building</t>
  </si>
  <si>
    <t>CLR manpower</t>
  </si>
  <si>
    <t>Associate mgr/JM</t>
  </si>
  <si>
    <t>Mechanical Helper</t>
  </si>
  <si>
    <t>Road sweeper operator</t>
  </si>
  <si>
    <t>Paint machine operator</t>
  </si>
  <si>
    <t>High raise machine operators 21mt&amp; 18mt</t>
  </si>
  <si>
    <t>TMT</t>
  </si>
  <si>
    <t>Ops Technicians (ELE -Ops)</t>
  </si>
  <si>
    <t xml:space="preserve">Admin building </t>
  </si>
  <si>
    <t>Technicians (ELE -Ops)</t>
  </si>
  <si>
    <t>Immediate requirement in Ph-1</t>
  </si>
  <si>
    <t>Immediate requirement Ph-1</t>
  </si>
  <si>
    <t xml:space="preserve">Phase-1 proposal </t>
  </si>
  <si>
    <t>ADMIN STAFF-GVIAL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</si>
</sst>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vertical="top"/>
    </xf>
    <xf numFmtId="1" fontId="3" fillId="0" borderId="4" xfId="1" applyNumberFormat="1" applyFon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3" fillId="2" borderId="4" xfId="1" applyFont="1" applyFill="1" applyBorder="1" applyAlignment="1">
      <alignment vertical="top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2" fontId="2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2" fontId="2" fillId="0" borderId="4" xfId="0" applyNumberFormat="1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3" fillId="0" borderId="4" xfId="0" applyFont="1" applyBorder="1" applyAlignment="1">
      <alignment vertical="top" wrapText="1"/>
    </xf>
    <xf numFmtId="2" fontId="0" fillId="0" borderId="4" xfId="0" applyNumberFormat="1" applyBorder="1" applyAlignment="1">
      <alignment horizontal="center" vertical="center" wrapText="1"/>
    </xf>
    <xf numFmtId="1" fontId="3" fillId="0" borderId="4" xfId="2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2" fontId="2" fillId="2" borderId="4" xfId="0" applyNumberFormat="1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 vertical="center" wrapText="1"/>
    </xf>
    <xf numFmtId="0" fontId="2" fillId="0" borderId="4" xfId="0" applyFont="1" applyBorder="1"/>
    <xf numFmtId="164" fontId="0" fillId="0" borderId="4" xfId="0" applyNumberFormat="1" applyBorder="1" applyAlignment="1">
      <alignment horizontal="center" vertical="top" wrapText="1"/>
    </xf>
    <xf numFmtId="164" fontId="0" fillId="0" borderId="4" xfId="0" applyNumberFormat="1" applyBorder="1" applyAlignment="1">
      <alignment horizontal="center" vertical="center" wrapText="1"/>
    </xf>
    <xf numFmtId="0" fontId="3" fillId="0" borderId="4" xfId="1" applyFont="1" applyBorder="1" applyAlignment="1">
      <alignment vertical="top"/>
    </xf>
    <xf numFmtId="0" fontId="2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top" wrapText="1"/>
    </xf>
    <xf numFmtId="2" fontId="0" fillId="2" borderId="0" xfId="0" applyNumberFormat="1" applyFill="1"/>
    <xf numFmtId="1" fontId="0" fillId="2" borderId="0" xfId="0" applyNumberFormat="1" applyFill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vertical="center" wrapText="1"/>
    </xf>
    <xf numFmtId="0" fontId="0" fillId="4" borderId="0" xfId="0" applyFill="1"/>
    <xf numFmtId="0" fontId="0" fillId="5" borderId="0" xfId="0" applyFill="1"/>
    <xf numFmtId="0" fontId="2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0" borderId="10" xfId="0" applyBorder="1"/>
    <xf numFmtId="0" fontId="0" fillId="0" borderId="19" xfId="0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7" xfId="0" applyBorder="1"/>
    <xf numFmtId="0" fontId="2" fillId="2" borderId="18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10" xfId="0" applyFont="1" applyBorder="1"/>
    <xf numFmtId="0" fontId="0" fillId="2" borderId="18" xfId="0" applyFill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4" fillId="2" borderId="17" xfId="0" applyFont="1" applyFill="1" applyBorder="1"/>
    <xf numFmtId="0" fontId="0" fillId="2" borderId="17" xfId="0" applyFill="1" applyBorder="1"/>
    <xf numFmtId="0" fontId="0" fillId="2" borderId="10" xfId="0" applyFill="1" applyBorder="1"/>
    <xf numFmtId="0" fontId="0" fillId="2" borderId="19" xfId="0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1" fontId="0" fillId="0" borderId="18" xfId="0" applyNumberForma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2" fillId="0" borderId="21" xfId="0" applyFont="1" applyBorder="1"/>
    <xf numFmtId="0" fontId="2" fillId="2" borderId="22" xfId="0" applyFont="1" applyFill="1" applyBorder="1" applyAlignment="1">
      <alignment horizontal="center"/>
    </xf>
    <xf numFmtId="1" fontId="3" fillId="2" borderId="4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top" wrapText="1"/>
    </xf>
    <xf numFmtId="1" fontId="3" fillId="2" borderId="4" xfId="2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</cellXfs>
  <cellStyles count="3">
    <cellStyle name="Normal" xfId="0" builtinId="0"/>
    <cellStyle name="Normal 10 3 2 2 3" xfId="2" xr:uid="{5BA9DE6F-CB18-478E-AD95-BBC0220ECFEB}"/>
    <cellStyle name="Normal 10 3 6" xfId="1" xr:uid="{5B8BF0FB-83AB-4D65-BD85-F6331DEA0F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10</xdr:col>
      <xdr:colOff>0</xdr:colOff>
      <xdr:row>4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19A2C5-DE0B-4D89-8F79-55E9890CA283}"/>
            </a:ext>
          </a:extLst>
        </xdr:cNvPr>
        <xdr:cNvGrpSpPr>
          <a:grpSpLocks/>
        </xdr:cNvGrpSpPr>
      </xdr:nvGrpSpPr>
      <xdr:grpSpPr bwMode="auto">
        <a:xfrm>
          <a:off x="611909" y="0"/>
          <a:ext cx="7487227" cy="738909"/>
          <a:chOff x="-7329319" y="-653823"/>
          <a:chExt cx="24086574" cy="126833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ABE1CAC-591D-8FCF-33E8-FE3F48678D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7329319" y="-653823"/>
            <a:ext cx="24086574" cy="12579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C83035A-5499-ED3B-6906-CD51E8A46BF8}"/>
              </a:ext>
            </a:extLst>
          </xdr:cNvPr>
          <xdr:cNvSpPr txBox="1"/>
        </xdr:nvSpPr>
        <xdr:spPr>
          <a:xfrm>
            <a:off x="-4684934" y="-328609"/>
            <a:ext cx="4669229" cy="9431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endParaRPr lang="en-US" sz="1400" b="1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xdr:txBody>
      </xdr:sp>
    </xdr:grpSp>
    <xdr:clientData/>
  </xdr:twoCellAnchor>
  <xdr:twoCellAnchor>
    <xdr:from>
      <xdr:col>1</xdr:col>
      <xdr:colOff>0</xdr:colOff>
      <xdr:row>0</xdr:row>
      <xdr:rowOff>0</xdr:rowOff>
    </xdr:from>
    <xdr:to>
      <xdr:col>10</xdr:col>
      <xdr:colOff>0</xdr:colOff>
      <xdr:row>4</xdr:row>
      <xdr:rowOff>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3AE798D3-FCC2-4DC6-AB6A-895DEAD0D625}"/>
            </a:ext>
          </a:extLst>
        </xdr:cNvPr>
        <xdr:cNvGrpSpPr>
          <a:grpSpLocks/>
        </xdr:cNvGrpSpPr>
      </xdr:nvGrpSpPr>
      <xdr:grpSpPr bwMode="auto">
        <a:xfrm>
          <a:off x="611909" y="0"/>
          <a:ext cx="7487227" cy="738909"/>
          <a:chOff x="-7329319" y="-653823"/>
          <a:chExt cx="24086574" cy="1268334"/>
        </a:xfrm>
      </xdr:grpSpPr>
      <xdr:pic>
        <xdr:nvPicPr>
          <xdr:cNvPr id="6" name="Picture 2">
            <a:extLst>
              <a:ext uri="{FF2B5EF4-FFF2-40B4-BE49-F238E27FC236}">
                <a16:creationId xmlns:a16="http://schemas.microsoft.com/office/drawing/2014/main" id="{F30FF4A9-ED2E-4805-842F-E4664AE7C7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7329319" y="-653823"/>
            <a:ext cx="24086574" cy="12579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160E4E-B8C7-078F-A0B2-84992DDB9ED8}"/>
              </a:ext>
            </a:extLst>
          </xdr:cNvPr>
          <xdr:cNvSpPr txBox="1"/>
        </xdr:nvSpPr>
        <xdr:spPr>
          <a:xfrm>
            <a:off x="-4684934" y="-328609"/>
            <a:ext cx="4669229" cy="9431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endParaRPr lang="en-US" sz="1400" b="1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xdr:txBody>
      </xdr:sp>
    </xdr:grpSp>
    <xdr:clientData/>
  </xdr:twoCellAnchor>
  <xdr:twoCellAnchor>
    <xdr:from>
      <xdr:col>1</xdr:col>
      <xdr:colOff>6350</xdr:colOff>
      <xdr:row>0</xdr:row>
      <xdr:rowOff>6350</xdr:rowOff>
    </xdr:from>
    <xdr:to>
      <xdr:col>10</xdr:col>
      <xdr:colOff>6350</xdr:colOff>
      <xdr:row>4</xdr:row>
      <xdr:rowOff>6350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620C6F2B-634E-43EA-9D19-1EADFC4BC532}"/>
            </a:ext>
          </a:extLst>
        </xdr:cNvPr>
        <xdr:cNvGrpSpPr>
          <a:grpSpLocks/>
        </xdr:cNvGrpSpPr>
      </xdr:nvGrpSpPr>
      <xdr:grpSpPr bwMode="auto">
        <a:xfrm>
          <a:off x="618259" y="6350"/>
          <a:ext cx="7487227" cy="738909"/>
          <a:chOff x="-7329319" y="-653823"/>
          <a:chExt cx="24086574" cy="1268334"/>
        </a:xfrm>
      </xdr:grpSpPr>
      <xdr:pic>
        <xdr:nvPicPr>
          <xdr:cNvPr id="9" name="Picture 2">
            <a:extLst>
              <a:ext uri="{FF2B5EF4-FFF2-40B4-BE49-F238E27FC236}">
                <a16:creationId xmlns:a16="http://schemas.microsoft.com/office/drawing/2014/main" id="{B01831DB-9C6B-7852-D184-28ECE1271E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7329319" y="-653823"/>
            <a:ext cx="24086574" cy="12579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3FC32F6-CA47-8156-3FD8-D4BAFB64239D}"/>
              </a:ext>
            </a:extLst>
          </xdr:cNvPr>
          <xdr:cNvSpPr txBox="1"/>
        </xdr:nvSpPr>
        <xdr:spPr>
          <a:xfrm>
            <a:off x="-4684934" y="-328609"/>
            <a:ext cx="4669229" cy="9431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endParaRPr lang="en-US" sz="1400" b="1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96"/>
  <sheetViews>
    <sheetView topLeftCell="A92" zoomScale="110" zoomScaleNormal="110" workbookViewId="0">
      <selection activeCell="J104" sqref="J104"/>
    </sheetView>
  </sheetViews>
  <sheetFormatPr defaultRowHeight="14.5" x14ac:dyDescent="0.35"/>
  <cols>
    <col min="1" max="1" width="8.7265625" style="1"/>
    <col min="2" max="2" width="6.08984375" style="43" bestFit="1" customWidth="1"/>
    <col min="3" max="3" width="28.6328125" style="44" bestFit="1" customWidth="1"/>
    <col min="4" max="4" width="8.6328125" style="43" customWidth="1"/>
    <col min="5" max="5" width="11.7265625" style="1" bestFit="1" customWidth="1"/>
    <col min="6" max="6" width="9.08984375" style="1" customWidth="1"/>
    <col min="7" max="7" width="10.54296875" style="1" bestFit="1" customWidth="1"/>
    <col min="8" max="8" width="10.54296875" style="1" customWidth="1"/>
    <col min="9" max="9" width="11.1796875" style="1" bestFit="1" customWidth="1"/>
    <col min="10" max="10" width="10.54296875" style="1" customWidth="1"/>
    <col min="11" max="247" width="8.7265625" style="1"/>
    <col min="248" max="248" width="6.08984375" style="1" bestFit="1" customWidth="1"/>
    <col min="249" max="249" width="28.6328125" style="1" bestFit="1" customWidth="1"/>
    <col min="250" max="250" width="8.6328125" style="1" customWidth="1"/>
    <col min="251" max="251" width="9.08984375" style="1" customWidth="1"/>
    <col min="252" max="252" width="10.54296875" style="1" bestFit="1" customWidth="1"/>
    <col min="253" max="253" width="10.54296875" style="1" customWidth="1"/>
    <col min="254" max="254" width="11.7265625" style="1" bestFit="1" customWidth="1"/>
    <col min="255" max="255" width="10.54296875" style="1" customWidth="1"/>
    <col min="256" max="256" width="11.1796875" style="1" bestFit="1" customWidth="1"/>
    <col min="257" max="258" width="10.54296875" style="1" customWidth="1"/>
    <col min="259" max="259" width="16.81640625" style="1" customWidth="1"/>
    <col min="260" max="261" width="8.7265625" style="1"/>
    <col min="262" max="262" width="13.1796875" style="1" bestFit="1" customWidth="1"/>
    <col min="263" max="503" width="8.7265625" style="1"/>
    <col min="504" max="504" width="6.08984375" style="1" bestFit="1" customWidth="1"/>
    <col min="505" max="505" width="28.6328125" style="1" bestFit="1" customWidth="1"/>
    <col min="506" max="506" width="8.6328125" style="1" customWidth="1"/>
    <col min="507" max="507" width="9.08984375" style="1" customWidth="1"/>
    <col min="508" max="508" width="10.54296875" style="1" bestFit="1" customWidth="1"/>
    <col min="509" max="509" width="10.54296875" style="1" customWidth="1"/>
    <col min="510" max="510" width="11.7265625" style="1" bestFit="1" customWidth="1"/>
    <col min="511" max="511" width="10.54296875" style="1" customWidth="1"/>
    <col min="512" max="512" width="11.1796875" style="1" bestFit="1" customWidth="1"/>
    <col min="513" max="514" width="10.54296875" style="1" customWidth="1"/>
    <col min="515" max="515" width="16.81640625" style="1" customWidth="1"/>
    <col min="516" max="517" width="8.7265625" style="1"/>
    <col min="518" max="518" width="13.1796875" style="1" bestFit="1" customWidth="1"/>
    <col min="519" max="759" width="8.7265625" style="1"/>
    <col min="760" max="760" width="6.08984375" style="1" bestFit="1" customWidth="1"/>
    <col min="761" max="761" width="28.6328125" style="1" bestFit="1" customWidth="1"/>
    <col min="762" max="762" width="8.6328125" style="1" customWidth="1"/>
    <col min="763" max="763" width="9.08984375" style="1" customWidth="1"/>
    <col min="764" max="764" width="10.54296875" style="1" bestFit="1" customWidth="1"/>
    <col min="765" max="765" width="10.54296875" style="1" customWidth="1"/>
    <col min="766" max="766" width="11.7265625" style="1" bestFit="1" customWidth="1"/>
    <col min="767" max="767" width="10.54296875" style="1" customWidth="1"/>
    <col min="768" max="768" width="11.1796875" style="1" bestFit="1" customWidth="1"/>
    <col min="769" max="770" width="10.54296875" style="1" customWidth="1"/>
    <col min="771" max="771" width="16.81640625" style="1" customWidth="1"/>
    <col min="772" max="773" width="8.7265625" style="1"/>
    <col min="774" max="774" width="13.1796875" style="1" bestFit="1" customWidth="1"/>
    <col min="775" max="1015" width="8.7265625" style="1"/>
    <col min="1016" max="1016" width="6.08984375" style="1" bestFit="1" customWidth="1"/>
    <col min="1017" max="1017" width="28.6328125" style="1" bestFit="1" customWidth="1"/>
    <col min="1018" max="1018" width="8.6328125" style="1" customWidth="1"/>
    <col min="1019" max="1019" width="9.08984375" style="1" customWidth="1"/>
    <col min="1020" max="1020" width="10.54296875" style="1" bestFit="1" customWidth="1"/>
    <col min="1021" max="1021" width="10.54296875" style="1" customWidth="1"/>
    <col min="1022" max="1022" width="11.7265625" style="1" bestFit="1" customWidth="1"/>
    <col min="1023" max="1023" width="10.54296875" style="1" customWidth="1"/>
    <col min="1024" max="1024" width="11.1796875" style="1" bestFit="1" customWidth="1"/>
    <col min="1025" max="1026" width="10.54296875" style="1" customWidth="1"/>
    <col min="1027" max="1027" width="16.81640625" style="1" customWidth="1"/>
    <col min="1028" max="1029" width="8.7265625" style="1"/>
    <col min="1030" max="1030" width="13.1796875" style="1" bestFit="1" customWidth="1"/>
    <col min="1031" max="1271" width="8.7265625" style="1"/>
    <col min="1272" max="1272" width="6.08984375" style="1" bestFit="1" customWidth="1"/>
    <col min="1273" max="1273" width="28.6328125" style="1" bestFit="1" customWidth="1"/>
    <col min="1274" max="1274" width="8.6328125" style="1" customWidth="1"/>
    <col min="1275" max="1275" width="9.08984375" style="1" customWidth="1"/>
    <col min="1276" max="1276" width="10.54296875" style="1" bestFit="1" customWidth="1"/>
    <col min="1277" max="1277" width="10.54296875" style="1" customWidth="1"/>
    <col min="1278" max="1278" width="11.7265625" style="1" bestFit="1" customWidth="1"/>
    <col min="1279" max="1279" width="10.54296875" style="1" customWidth="1"/>
    <col min="1280" max="1280" width="11.1796875" style="1" bestFit="1" customWidth="1"/>
    <col min="1281" max="1282" width="10.54296875" style="1" customWidth="1"/>
    <col min="1283" max="1283" width="16.81640625" style="1" customWidth="1"/>
    <col min="1284" max="1285" width="8.7265625" style="1"/>
    <col min="1286" max="1286" width="13.1796875" style="1" bestFit="1" customWidth="1"/>
    <col min="1287" max="1527" width="8.7265625" style="1"/>
    <col min="1528" max="1528" width="6.08984375" style="1" bestFit="1" customWidth="1"/>
    <col min="1529" max="1529" width="28.6328125" style="1" bestFit="1" customWidth="1"/>
    <col min="1530" max="1530" width="8.6328125" style="1" customWidth="1"/>
    <col min="1531" max="1531" width="9.08984375" style="1" customWidth="1"/>
    <col min="1532" max="1532" width="10.54296875" style="1" bestFit="1" customWidth="1"/>
    <col min="1533" max="1533" width="10.54296875" style="1" customWidth="1"/>
    <col min="1534" max="1534" width="11.7265625" style="1" bestFit="1" customWidth="1"/>
    <col min="1535" max="1535" width="10.54296875" style="1" customWidth="1"/>
    <col min="1536" max="1536" width="11.1796875" style="1" bestFit="1" customWidth="1"/>
    <col min="1537" max="1538" width="10.54296875" style="1" customWidth="1"/>
    <col min="1539" max="1539" width="16.81640625" style="1" customWidth="1"/>
    <col min="1540" max="1541" width="8.7265625" style="1"/>
    <col min="1542" max="1542" width="13.1796875" style="1" bestFit="1" customWidth="1"/>
    <col min="1543" max="1783" width="8.7265625" style="1"/>
    <col min="1784" max="1784" width="6.08984375" style="1" bestFit="1" customWidth="1"/>
    <col min="1785" max="1785" width="28.6328125" style="1" bestFit="1" customWidth="1"/>
    <col min="1786" max="1786" width="8.6328125" style="1" customWidth="1"/>
    <col min="1787" max="1787" width="9.08984375" style="1" customWidth="1"/>
    <col min="1788" max="1788" width="10.54296875" style="1" bestFit="1" customWidth="1"/>
    <col min="1789" max="1789" width="10.54296875" style="1" customWidth="1"/>
    <col min="1790" max="1790" width="11.7265625" style="1" bestFit="1" customWidth="1"/>
    <col min="1791" max="1791" width="10.54296875" style="1" customWidth="1"/>
    <col min="1792" max="1792" width="11.1796875" style="1" bestFit="1" customWidth="1"/>
    <col min="1793" max="1794" width="10.54296875" style="1" customWidth="1"/>
    <col min="1795" max="1795" width="16.81640625" style="1" customWidth="1"/>
    <col min="1796" max="1797" width="8.7265625" style="1"/>
    <col min="1798" max="1798" width="13.1796875" style="1" bestFit="1" customWidth="1"/>
    <col min="1799" max="2039" width="8.7265625" style="1"/>
    <col min="2040" max="2040" width="6.08984375" style="1" bestFit="1" customWidth="1"/>
    <col min="2041" max="2041" width="28.6328125" style="1" bestFit="1" customWidth="1"/>
    <col min="2042" max="2042" width="8.6328125" style="1" customWidth="1"/>
    <col min="2043" max="2043" width="9.08984375" style="1" customWidth="1"/>
    <col min="2044" max="2044" width="10.54296875" style="1" bestFit="1" customWidth="1"/>
    <col min="2045" max="2045" width="10.54296875" style="1" customWidth="1"/>
    <col min="2046" max="2046" width="11.7265625" style="1" bestFit="1" customWidth="1"/>
    <col min="2047" max="2047" width="10.54296875" style="1" customWidth="1"/>
    <col min="2048" max="2048" width="11.1796875" style="1" bestFit="1" customWidth="1"/>
    <col min="2049" max="2050" width="10.54296875" style="1" customWidth="1"/>
    <col min="2051" max="2051" width="16.81640625" style="1" customWidth="1"/>
    <col min="2052" max="2053" width="8.7265625" style="1"/>
    <col min="2054" max="2054" width="13.1796875" style="1" bestFit="1" customWidth="1"/>
    <col min="2055" max="2295" width="8.7265625" style="1"/>
    <col min="2296" max="2296" width="6.08984375" style="1" bestFit="1" customWidth="1"/>
    <col min="2297" max="2297" width="28.6328125" style="1" bestFit="1" customWidth="1"/>
    <col min="2298" max="2298" width="8.6328125" style="1" customWidth="1"/>
    <col min="2299" max="2299" width="9.08984375" style="1" customWidth="1"/>
    <col min="2300" max="2300" width="10.54296875" style="1" bestFit="1" customWidth="1"/>
    <col min="2301" max="2301" width="10.54296875" style="1" customWidth="1"/>
    <col min="2302" max="2302" width="11.7265625" style="1" bestFit="1" customWidth="1"/>
    <col min="2303" max="2303" width="10.54296875" style="1" customWidth="1"/>
    <col min="2304" max="2304" width="11.1796875" style="1" bestFit="1" customWidth="1"/>
    <col min="2305" max="2306" width="10.54296875" style="1" customWidth="1"/>
    <col min="2307" max="2307" width="16.81640625" style="1" customWidth="1"/>
    <col min="2308" max="2309" width="8.7265625" style="1"/>
    <col min="2310" max="2310" width="13.1796875" style="1" bestFit="1" customWidth="1"/>
    <col min="2311" max="2551" width="8.7265625" style="1"/>
    <col min="2552" max="2552" width="6.08984375" style="1" bestFit="1" customWidth="1"/>
    <col min="2553" max="2553" width="28.6328125" style="1" bestFit="1" customWidth="1"/>
    <col min="2554" max="2554" width="8.6328125" style="1" customWidth="1"/>
    <col min="2555" max="2555" width="9.08984375" style="1" customWidth="1"/>
    <col min="2556" max="2556" width="10.54296875" style="1" bestFit="1" customWidth="1"/>
    <col min="2557" max="2557" width="10.54296875" style="1" customWidth="1"/>
    <col min="2558" max="2558" width="11.7265625" style="1" bestFit="1" customWidth="1"/>
    <col min="2559" max="2559" width="10.54296875" style="1" customWidth="1"/>
    <col min="2560" max="2560" width="11.1796875" style="1" bestFit="1" customWidth="1"/>
    <col min="2561" max="2562" width="10.54296875" style="1" customWidth="1"/>
    <col min="2563" max="2563" width="16.81640625" style="1" customWidth="1"/>
    <col min="2564" max="2565" width="8.7265625" style="1"/>
    <col min="2566" max="2566" width="13.1796875" style="1" bestFit="1" customWidth="1"/>
    <col min="2567" max="2807" width="8.7265625" style="1"/>
    <col min="2808" max="2808" width="6.08984375" style="1" bestFit="1" customWidth="1"/>
    <col min="2809" max="2809" width="28.6328125" style="1" bestFit="1" customWidth="1"/>
    <col min="2810" max="2810" width="8.6328125" style="1" customWidth="1"/>
    <col min="2811" max="2811" width="9.08984375" style="1" customWidth="1"/>
    <col min="2812" max="2812" width="10.54296875" style="1" bestFit="1" customWidth="1"/>
    <col min="2813" max="2813" width="10.54296875" style="1" customWidth="1"/>
    <col min="2814" max="2814" width="11.7265625" style="1" bestFit="1" customWidth="1"/>
    <col min="2815" max="2815" width="10.54296875" style="1" customWidth="1"/>
    <col min="2816" max="2816" width="11.1796875" style="1" bestFit="1" customWidth="1"/>
    <col min="2817" max="2818" width="10.54296875" style="1" customWidth="1"/>
    <col min="2819" max="2819" width="16.81640625" style="1" customWidth="1"/>
    <col min="2820" max="2821" width="8.7265625" style="1"/>
    <col min="2822" max="2822" width="13.1796875" style="1" bestFit="1" customWidth="1"/>
    <col min="2823" max="3063" width="8.7265625" style="1"/>
    <col min="3064" max="3064" width="6.08984375" style="1" bestFit="1" customWidth="1"/>
    <col min="3065" max="3065" width="28.6328125" style="1" bestFit="1" customWidth="1"/>
    <col min="3066" max="3066" width="8.6328125" style="1" customWidth="1"/>
    <col min="3067" max="3067" width="9.08984375" style="1" customWidth="1"/>
    <col min="3068" max="3068" width="10.54296875" style="1" bestFit="1" customWidth="1"/>
    <col min="3069" max="3069" width="10.54296875" style="1" customWidth="1"/>
    <col min="3070" max="3070" width="11.7265625" style="1" bestFit="1" customWidth="1"/>
    <col min="3071" max="3071" width="10.54296875" style="1" customWidth="1"/>
    <col min="3072" max="3072" width="11.1796875" style="1" bestFit="1" customWidth="1"/>
    <col min="3073" max="3074" width="10.54296875" style="1" customWidth="1"/>
    <col min="3075" max="3075" width="16.81640625" style="1" customWidth="1"/>
    <col min="3076" max="3077" width="8.7265625" style="1"/>
    <col min="3078" max="3078" width="13.1796875" style="1" bestFit="1" customWidth="1"/>
    <col min="3079" max="3319" width="8.7265625" style="1"/>
    <col min="3320" max="3320" width="6.08984375" style="1" bestFit="1" customWidth="1"/>
    <col min="3321" max="3321" width="28.6328125" style="1" bestFit="1" customWidth="1"/>
    <col min="3322" max="3322" width="8.6328125" style="1" customWidth="1"/>
    <col min="3323" max="3323" width="9.08984375" style="1" customWidth="1"/>
    <col min="3324" max="3324" width="10.54296875" style="1" bestFit="1" customWidth="1"/>
    <col min="3325" max="3325" width="10.54296875" style="1" customWidth="1"/>
    <col min="3326" max="3326" width="11.7265625" style="1" bestFit="1" customWidth="1"/>
    <col min="3327" max="3327" width="10.54296875" style="1" customWidth="1"/>
    <col min="3328" max="3328" width="11.1796875" style="1" bestFit="1" customWidth="1"/>
    <col min="3329" max="3330" width="10.54296875" style="1" customWidth="1"/>
    <col min="3331" max="3331" width="16.81640625" style="1" customWidth="1"/>
    <col min="3332" max="3333" width="8.7265625" style="1"/>
    <col min="3334" max="3334" width="13.1796875" style="1" bestFit="1" customWidth="1"/>
    <col min="3335" max="3575" width="8.7265625" style="1"/>
    <col min="3576" max="3576" width="6.08984375" style="1" bestFit="1" customWidth="1"/>
    <col min="3577" max="3577" width="28.6328125" style="1" bestFit="1" customWidth="1"/>
    <col min="3578" max="3578" width="8.6328125" style="1" customWidth="1"/>
    <col min="3579" max="3579" width="9.08984375" style="1" customWidth="1"/>
    <col min="3580" max="3580" width="10.54296875" style="1" bestFit="1" customWidth="1"/>
    <col min="3581" max="3581" width="10.54296875" style="1" customWidth="1"/>
    <col min="3582" max="3582" width="11.7265625" style="1" bestFit="1" customWidth="1"/>
    <col min="3583" max="3583" width="10.54296875" style="1" customWidth="1"/>
    <col min="3584" max="3584" width="11.1796875" style="1" bestFit="1" customWidth="1"/>
    <col min="3585" max="3586" width="10.54296875" style="1" customWidth="1"/>
    <col min="3587" max="3587" width="16.81640625" style="1" customWidth="1"/>
    <col min="3588" max="3589" width="8.7265625" style="1"/>
    <col min="3590" max="3590" width="13.1796875" style="1" bestFit="1" customWidth="1"/>
    <col min="3591" max="3831" width="8.7265625" style="1"/>
    <col min="3832" max="3832" width="6.08984375" style="1" bestFit="1" customWidth="1"/>
    <col min="3833" max="3833" width="28.6328125" style="1" bestFit="1" customWidth="1"/>
    <col min="3834" max="3834" width="8.6328125" style="1" customWidth="1"/>
    <col min="3835" max="3835" width="9.08984375" style="1" customWidth="1"/>
    <col min="3836" max="3836" width="10.54296875" style="1" bestFit="1" customWidth="1"/>
    <col min="3837" max="3837" width="10.54296875" style="1" customWidth="1"/>
    <col min="3838" max="3838" width="11.7265625" style="1" bestFit="1" customWidth="1"/>
    <col min="3839" max="3839" width="10.54296875" style="1" customWidth="1"/>
    <col min="3840" max="3840" width="11.1796875" style="1" bestFit="1" customWidth="1"/>
    <col min="3841" max="3842" width="10.54296875" style="1" customWidth="1"/>
    <col min="3843" max="3843" width="16.81640625" style="1" customWidth="1"/>
    <col min="3844" max="3845" width="8.7265625" style="1"/>
    <col min="3846" max="3846" width="13.1796875" style="1" bestFit="1" customWidth="1"/>
    <col min="3847" max="4087" width="8.7265625" style="1"/>
    <col min="4088" max="4088" width="6.08984375" style="1" bestFit="1" customWidth="1"/>
    <col min="4089" max="4089" width="28.6328125" style="1" bestFit="1" customWidth="1"/>
    <col min="4090" max="4090" width="8.6328125" style="1" customWidth="1"/>
    <col min="4091" max="4091" width="9.08984375" style="1" customWidth="1"/>
    <col min="4092" max="4092" width="10.54296875" style="1" bestFit="1" customWidth="1"/>
    <col min="4093" max="4093" width="10.54296875" style="1" customWidth="1"/>
    <col min="4094" max="4094" width="11.7265625" style="1" bestFit="1" customWidth="1"/>
    <col min="4095" max="4095" width="10.54296875" style="1" customWidth="1"/>
    <col min="4096" max="4096" width="11.1796875" style="1" bestFit="1" customWidth="1"/>
    <col min="4097" max="4098" width="10.54296875" style="1" customWidth="1"/>
    <col min="4099" max="4099" width="16.81640625" style="1" customWidth="1"/>
    <col min="4100" max="4101" width="8.7265625" style="1"/>
    <col min="4102" max="4102" width="13.1796875" style="1" bestFit="1" customWidth="1"/>
    <col min="4103" max="4343" width="8.7265625" style="1"/>
    <col min="4344" max="4344" width="6.08984375" style="1" bestFit="1" customWidth="1"/>
    <col min="4345" max="4345" width="28.6328125" style="1" bestFit="1" customWidth="1"/>
    <col min="4346" max="4346" width="8.6328125" style="1" customWidth="1"/>
    <col min="4347" max="4347" width="9.08984375" style="1" customWidth="1"/>
    <col min="4348" max="4348" width="10.54296875" style="1" bestFit="1" customWidth="1"/>
    <col min="4349" max="4349" width="10.54296875" style="1" customWidth="1"/>
    <col min="4350" max="4350" width="11.7265625" style="1" bestFit="1" customWidth="1"/>
    <col min="4351" max="4351" width="10.54296875" style="1" customWidth="1"/>
    <col min="4352" max="4352" width="11.1796875" style="1" bestFit="1" customWidth="1"/>
    <col min="4353" max="4354" width="10.54296875" style="1" customWidth="1"/>
    <col min="4355" max="4355" width="16.81640625" style="1" customWidth="1"/>
    <col min="4356" max="4357" width="8.7265625" style="1"/>
    <col min="4358" max="4358" width="13.1796875" style="1" bestFit="1" customWidth="1"/>
    <col min="4359" max="4599" width="8.7265625" style="1"/>
    <col min="4600" max="4600" width="6.08984375" style="1" bestFit="1" customWidth="1"/>
    <col min="4601" max="4601" width="28.6328125" style="1" bestFit="1" customWidth="1"/>
    <col min="4602" max="4602" width="8.6328125" style="1" customWidth="1"/>
    <col min="4603" max="4603" width="9.08984375" style="1" customWidth="1"/>
    <col min="4604" max="4604" width="10.54296875" style="1" bestFit="1" customWidth="1"/>
    <col min="4605" max="4605" width="10.54296875" style="1" customWidth="1"/>
    <col min="4606" max="4606" width="11.7265625" style="1" bestFit="1" customWidth="1"/>
    <col min="4607" max="4607" width="10.54296875" style="1" customWidth="1"/>
    <col min="4608" max="4608" width="11.1796875" style="1" bestFit="1" customWidth="1"/>
    <col min="4609" max="4610" width="10.54296875" style="1" customWidth="1"/>
    <col min="4611" max="4611" width="16.81640625" style="1" customWidth="1"/>
    <col min="4612" max="4613" width="8.7265625" style="1"/>
    <col min="4614" max="4614" width="13.1796875" style="1" bestFit="1" customWidth="1"/>
    <col min="4615" max="4855" width="8.7265625" style="1"/>
    <col min="4856" max="4856" width="6.08984375" style="1" bestFit="1" customWidth="1"/>
    <col min="4857" max="4857" width="28.6328125" style="1" bestFit="1" customWidth="1"/>
    <col min="4858" max="4858" width="8.6328125" style="1" customWidth="1"/>
    <col min="4859" max="4859" width="9.08984375" style="1" customWidth="1"/>
    <col min="4860" max="4860" width="10.54296875" style="1" bestFit="1" customWidth="1"/>
    <col min="4861" max="4861" width="10.54296875" style="1" customWidth="1"/>
    <col min="4862" max="4862" width="11.7265625" style="1" bestFit="1" customWidth="1"/>
    <col min="4863" max="4863" width="10.54296875" style="1" customWidth="1"/>
    <col min="4864" max="4864" width="11.1796875" style="1" bestFit="1" customWidth="1"/>
    <col min="4865" max="4866" width="10.54296875" style="1" customWidth="1"/>
    <col min="4867" max="4867" width="16.81640625" style="1" customWidth="1"/>
    <col min="4868" max="4869" width="8.7265625" style="1"/>
    <col min="4870" max="4870" width="13.1796875" style="1" bestFit="1" customWidth="1"/>
    <col min="4871" max="5111" width="8.7265625" style="1"/>
    <col min="5112" max="5112" width="6.08984375" style="1" bestFit="1" customWidth="1"/>
    <col min="5113" max="5113" width="28.6328125" style="1" bestFit="1" customWidth="1"/>
    <col min="5114" max="5114" width="8.6328125" style="1" customWidth="1"/>
    <col min="5115" max="5115" width="9.08984375" style="1" customWidth="1"/>
    <col min="5116" max="5116" width="10.54296875" style="1" bestFit="1" customWidth="1"/>
    <col min="5117" max="5117" width="10.54296875" style="1" customWidth="1"/>
    <col min="5118" max="5118" width="11.7265625" style="1" bestFit="1" customWidth="1"/>
    <col min="5119" max="5119" width="10.54296875" style="1" customWidth="1"/>
    <col min="5120" max="5120" width="11.1796875" style="1" bestFit="1" customWidth="1"/>
    <col min="5121" max="5122" width="10.54296875" style="1" customWidth="1"/>
    <col min="5123" max="5123" width="16.81640625" style="1" customWidth="1"/>
    <col min="5124" max="5125" width="8.7265625" style="1"/>
    <col min="5126" max="5126" width="13.1796875" style="1" bestFit="1" customWidth="1"/>
    <col min="5127" max="5367" width="8.7265625" style="1"/>
    <col min="5368" max="5368" width="6.08984375" style="1" bestFit="1" customWidth="1"/>
    <col min="5369" max="5369" width="28.6328125" style="1" bestFit="1" customWidth="1"/>
    <col min="5370" max="5370" width="8.6328125" style="1" customWidth="1"/>
    <col min="5371" max="5371" width="9.08984375" style="1" customWidth="1"/>
    <col min="5372" max="5372" width="10.54296875" style="1" bestFit="1" customWidth="1"/>
    <col min="5373" max="5373" width="10.54296875" style="1" customWidth="1"/>
    <col min="5374" max="5374" width="11.7265625" style="1" bestFit="1" customWidth="1"/>
    <col min="5375" max="5375" width="10.54296875" style="1" customWidth="1"/>
    <col min="5376" max="5376" width="11.1796875" style="1" bestFit="1" customWidth="1"/>
    <col min="5377" max="5378" width="10.54296875" style="1" customWidth="1"/>
    <col min="5379" max="5379" width="16.81640625" style="1" customWidth="1"/>
    <col min="5380" max="5381" width="8.7265625" style="1"/>
    <col min="5382" max="5382" width="13.1796875" style="1" bestFit="1" customWidth="1"/>
    <col min="5383" max="5623" width="8.7265625" style="1"/>
    <col min="5624" max="5624" width="6.08984375" style="1" bestFit="1" customWidth="1"/>
    <col min="5625" max="5625" width="28.6328125" style="1" bestFit="1" customWidth="1"/>
    <col min="5626" max="5626" width="8.6328125" style="1" customWidth="1"/>
    <col min="5627" max="5627" width="9.08984375" style="1" customWidth="1"/>
    <col min="5628" max="5628" width="10.54296875" style="1" bestFit="1" customWidth="1"/>
    <col min="5629" max="5629" width="10.54296875" style="1" customWidth="1"/>
    <col min="5630" max="5630" width="11.7265625" style="1" bestFit="1" customWidth="1"/>
    <col min="5631" max="5631" width="10.54296875" style="1" customWidth="1"/>
    <col min="5632" max="5632" width="11.1796875" style="1" bestFit="1" customWidth="1"/>
    <col min="5633" max="5634" width="10.54296875" style="1" customWidth="1"/>
    <col min="5635" max="5635" width="16.81640625" style="1" customWidth="1"/>
    <col min="5636" max="5637" width="8.7265625" style="1"/>
    <col min="5638" max="5638" width="13.1796875" style="1" bestFit="1" customWidth="1"/>
    <col min="5639" max="5879" width="8.7265625" style="1"/>
    <col min="5880" max="5880" width="6.08984375" style="1" bestFit="1" customWidth="1"/>
    <col min="5881" max="5881" width="28.6328125" style="1" bestFit="1" customWidth="1"/>
    <col min="5882" max="5882" width="8.6328125" style="1" customWidth="1"/>
    <col min="5883" max="5883" width="9.08984375" style="1" customWidth="1"/>
    <col min="5884" max="5884" width="10.54296875" style="1" bestFit="1" customWidth="1"/>
    <col min="5885" max="5885" width="10.54296875" style="1" customWidth="1"/>
    <col min="5886" max="5886" width="11.7265625" style="1" bestFit="1" customWidth="1"/>
    <col min="5887" max="5887" width="10.54296875" style="1" customWidth="1"/>
    <col min="5888" max="5888" width="11.1796875" style="1" bestFit="1" customWidth="1"/>
    <col min="5889" max="5890" width="10.54296875" style="1" customWidth="1"/>
    <col min="5891" max="5891" width="16.81640625" style="1" customWidth="1"/>
    <col min="5892" max="5893" width="8.7265625" style="1"/>
    <col min="5894" max="5894" width="13.1796875" style="1" bestFit="1" customWidth="1"/>
    <col min="5895" max="6135" width="8.7265625" style="1"/>
    <col min="6136" max="6136" width="6.08984375" style="1" bestFit="1" customWidth="1"/>
    <col min="6137" max="6137" width="28.6328125" style="1" bestFit="1" customWidth="1"/>
    <col min="6138" max="6138" width="8.6328125" style="1" customWidth="1"/>
    <col min="6139" max="6139" width="9.08984375" style="1" customWidth="1"/>
    <col min="6140" max="6140" width="10.54296875" style="1" bestFit="1" customWidth="1"/>
    <col min="6141" max="6141" width="10.54296875" style="1" customWidth="1"/>
    <col min="6142" max="6142" width="11.7265625" style="1" bestFit="1" customWidth="1"/>
    <col min="6143" max="6143" width="10.54296875" style="1" customWidth="1"/>
    <col min="6144" max="6144" width="11.1796875" style="1" bestFit="1" customWidth="1"/>
    <col min="6145" max="6146" width="10.54296875" style="1" customWidth="1"/>
    <col min="6147" max="6147" width="16.81640625" style="1" customWidth="1"/>
    <col min="6148" max="6149" width="8.7265625" style="1"/>
    <col min="6150" max="6150" width="13.1796875" style="1" bestFit="1" customWidth="1"/>
    <col min="6151" max="6391" width="8.7265625" style="1"/>
    <col min="6392" max="6392" width="6.08984375" style="1" bestFit="1" customWidth="1"/>
    <col min="6393" max="6393" width="28.6328125" style="1" bestFit="1" customWidth="1"/>
    <col min="6394" max="6394" width="8.6328125" style="1" customWidth="1"/>
    <col min="6395" max="6395" width="9.08984375" style="1" customWidth="1"/>
    <col min="6396" max="6396" width="10.54296875" style="1" bestFit="1" customWidth="1"/>
    <col min="6397" max="6397" width="10.54296875" style="1" customWidth="1"/>
    <col min="6398" max="6398" width="11.7265625" style="1" bestFit="1" customWidth="1"/>
    <col min="6399" max="6399" width="10.54296875" style="1" customWidth="1"/>
    <col min="6400" max="6400" width="11.1796875" style="1" bestFit="1" customWidth="1"/>
    <col min="6401" max="6402" width="10.54296875" style="1" customWidth="1"/>
    <col min="6403" max="6403" width="16.81640625" style="1" customWidth="1"/>
    <col min="6404" max="6405" width="8.7265625" style="1"/>
    <col min="6406" max="6406" width="13.1796875" style="1" bestFit="1" customWidth="1"/>
    <col min="6407" max="6647" width="8.7265625" style="1"/>
    <col min="6648" max="6648" width="6.08984375" style="1" bestFit="1" customWidth="1"/>
    <col min="6649" max="6649" width="28.6328125" style="1" bestFit="1" customWidth="1"/>
    <col min="6650" max="6650" width="8.6328125" style="1" customWidth="1"/>
    <col min="6651" max="6651" width="9.08984375" style="1" customWidth="1"/>
    <col min="6652" max="6652" width="10.54296875" style="1" bestFit="1" customWidth="1"/>
    <col min="6653" max="6653" width="10.54296875" style="1" customWidth="1"/>
    <col min="6654" max="6654" width="11.7265625" style="1" bestFit="1" customWidth="1"/>
    <col min="6655" max="6655" width="10.54296875" style="1" customWidth="1"/>
    <col min="6656" max="6656" width="11.1796875" style="1" bestFit="1" customWidth="1"/>
    <col min="6657" max="6658" width="10.54296875" style="1" customWidth="1"/>
    <col min="6659" max="6659" width="16.81640625" style="1" customWidth="1"/>
    <col min="6660" max="6661" width="8.7265625" style="1"/>
    <col min="6662" max="6662" width="13.1796875" style="1" bestFit="1" customWidth="1"/>
    <col min="6663" max="6903" width="8.7265625" style="1"/>
    <col min="6904" max="6904" width="6.08984375" style="1" bestFit="1" customWidth="1"/>
    <col min="6905" max="6905" width="28.6328125" style="1" bestFit="1" customWidth="1"/>
    <col min="6906" max="6906" width="8.6328125" style="1" customWidth="1"/>
    <col min="6907" max="6907" width="9.08984375" style="1" customWidth="1"/>
    <col min="6908" max="6908" width="10.54296875" style="1" bestFit="1" customWidth="1"/>
    <col min="6909" max="6909" width="10.54296875" style="1" customWidth="1"/>
    <col min="6910" max="6910" width="11.7265625" style="1" bestFit="1" customWidth="1"/>
    <col min="6911" max="6911" width="10.54296875" style="1" customWidth="1"/>
    <col min="6912" max="6912" width="11.1796875" style="1" bestFit="1" customWidth="1"/>
    <col min="6913" max="6914" width="10.54296875" style="1" customWidth="1"/>
    <col min="6915" max="6915" width="16.81640625" style="1" customWidth="1"/>
    <col min="6916" max="6917" width="8.7265625" style="1"/>
    <col min="6918" max="6918" width="13.1796875" style="1" bestFit="1" customWidth="1"/>
    <col min="6919" max="7159" width="8.7265625" style="1"/>
    <col min="7160" max="7160" width="6.08984375" style="1" bestFit="1" customWidth="1"/>
    <col min="7161" max="7161" width="28.6328125" style="1" bestFit="1" customWidth="1"/>
    <col min="7162" max="7162" width="8.6328125" style="1" customWidth="1"/>
    <col min="7163" max="7163" width="9.08984375" style="1" customWidth="1"/>
    <col min="7164" max="7164" width="10.54296875" style="1" bestFit="1" customWidth="1"/>
    <col min="7165" max="7165" width="10.54296875" style="1" customWidth="1"/>
    <col min="7166" max="7166" width="11.7265625" style="1" bestFit="1" customWidth="1"/>
    <col min="7167" max="7167" width="10.54296875" style="1" customWidth="1"/>
    <col min="7168" max="7168" width="11.1796875" style="1" bestFit="1" customWidth="1"/>
    <col min="7169" max="7170" width="10.54296875" style="1" customWidth="1"/>
    <col min="7171" max="7171" width="16.81640625" style="1" customWidth="1"/>
    <col min="7172" max="7173" width="8.7265625" style="1"/>
    <col min="7174" max="7174" width="13.1796875" style="1" bestFit="1" customWidth="1"/>
    <col min="7175" max="7415" width="8.7265625" style="1"/>
    <col min="7416" max="7416" width="6.08984375" style="1" bestFit="1" customWidth="1"/>
    <col min="7417" max="7417" width="28.6328125" style="1" bestFit="1" customWidth="1"/>
    <col min="7418" max="7418" width="8.6328125" style="1" customWidth="1"/>
    <col min="7419" max="7419" width="9.08984375" style="1" customWidth="1"/>
    <col min="7420" max="7420" width="10.54296875" style="1" bestFit="1" customWidth="1"/>
    <col min="7421" max="7421" width="10.54296875" style="1" customWidth="1"/>
    <col min="7422" max="7422" width="11.7265625" style="1" bestFit="1" customWidth="1"/>
    <col min="7423" max="7423" width="10.54296875" style="1" customWidth="1"/>
    <col min="7424" max="7424" width="11.1796875" style="1" bestFit="1" customWidth="1"/>
    <col min="7425" max="7426" width="10.54296875" style="1" customWidth="1"/>
    <col min="7427" max="7427" width="16.81640625" style="1" customWidth="1"/>
    <col min="7428" max="7429" width="8.7265625" style="1"/>
    <col min="7430" max="7430" width="13.1796875" style="1" bestFit="1" customWidth="1"/>
    <col min="7431" max="7671" width="8.7265625" style="1"/>
    <col min="7672" max="7672" width="6.08984375" style="1" bestFit="1" customWidth="1"/>
    <col min="7673" max="7673" width="28.6328125" style="1" bestFit="1" customWidth="1"/>
    <col min="7674" max="7674" width="8.6328125" style="1" customWidth="1"/>
    <col min="7675" max="7675" width="9.08984375" style="1" customWidth="1"/>
    <col min="7676" max="7676" width="10.54296875" style="1" bestFit="1" customWidth="1"/>
    <col min="7677" max="7677" width="10.54296875" style="1" customWidth="1"/>
    <col min="7678" max="7678" width="11.7265625" style="1" bestFit="1" customWidth="1"/>
    <col min="7679" max="7679" width="10.54296875" style="1" customWidth="1"/>
    <col min="7680" max="7680" width="11.1796875" style="1" bestFit="1" customWidth="1"/>
    <col min="7681" max="7682" width="10.54296875" style="1" customWidth="1"/>
    <col min="7683" max="7683" width="16.81640625" style="1" customWidth="1"/>
    <col min="7684" max="7685" width="8.7265625" style="1"/>
    <col min="7686" max="7686" width="13.1796875" style="1" bestFit="1" customWidth="1"/>
    <col min="7687" max="7927" width="8.7265625" style="1"/>
    <col min="7928" max="7928" width="6.08984375" style="1" bestFit="1" customWidth="1"/>
    <col min="7929" max="7929" width="28.6328125" style="1" bestFit="1" customWidth="1"/>
    <col min="7930" max="7930" width="8.6328125" style="1" customWidth="1"/>
    <col min="7931" max="7931" width="9.08984375" style="1" customWidth="1"/>
    <col min="7932" max="7932" width="10.54296875" style="1" bestFit="1" customWidth="1"/>
    <col min="7933" max="7933" width="10.54296875" style="1" customWidth="1"/>
    <col min="7934" max="7934" width="11.7265625" style="1" bestFit="1" customWidth="1"/>
    <col min="7935" max="7935" width="10.54296875" style="1" customWidth="1"/>
    <col min="7936" max="7936" width="11.1796875" style="1" bestFit="1" customWidth="1"/>
    <col min="7937" max="7938" width="10.54296875" style="1" customWidth="1"/>
    <col min="7939" max="7939" width="16.81640625" style="1" customWidth="1"/>
    <col min="7940" max="7941" width="8.7265625" style="1"/>
    <col min="7942" max="7942" width="13.1796875" style="1" bestFit="1" customWidth="1"/>
    <col min="7943" max="8183" width="8.7265625" style="1"/>
    <col min="8184" max="8184" width="6.08984375" style="1" bestFit="1" customWidth="1"/>
    <col min="8185" max="8185" width="28.6328125" style="1" bestFit="1" customWidth="1"/>
    <col min="8186" max="8186" width="8.6328125" style="1" customWidth="1"/>
    <col min="8187" max="8187" width="9.08984375" style="1" customWidth="1"/>
    <col min="8188" max="8188" width="10.54296875" style="1" bestFit="1" customWidth="1"/>
    <col min="8189" max="8189" width="10.54296875" style="1" customWidth="1"/>
    <col min="8190" max="8190" width="11.7265625" style="1" bestFit="1" customWidth="1"/>
    <col min="8191" max="8191" width="10.54296875" style="1" customWidth="1"/>
    <col min="8192" max="8192" width="11.1796875" style="1" bestFit="1" customWidth="1"/>
    <col min="8193" max="8194" width="10.54296875" style="1" customWidth="1"/>
    <col min="8195" max="8195" width="16.81640625" style="1" customWidth="1"/>
    <col min="8196" max="8197" width="8.7265625" style="1"/>
    <col min="8198" max="8198" width="13.1796875" style="1" bestFit="1" customWidth="1"/>
    <col min="8199" max="8439" width="8.7265625" style="1"/>
    <col min="8440" max="8440" width="6.08984375" style="1" bestFit="1" customWidth="1"/>
    <col min="8441" max="8441" width="28.6328125" style="1" bestFit="1" customWidth="1"/>
    <col min="8442" max="8442" width="8.6328125" style="1" customWidth="1"/>
    <col min="8443" max="8443" width="9.08984375" style="1" customWidth="1"/>
    <col min="8444" max="8444" width="10.54296875" style="1" bestFit="1" customWidth="1"/>
    <col min="8445" max="8445" width="10.54296875" style="1" customWidth="1"/>
    <col min="8446" max="8446" width="11.7265625" style="1" bestFit="1" customWidth="1"/>
    <col min="8447" max="8447" width="10.54296875" style="1" customWidth="1"/>
    <col min="8448" max="8448" width="11.1796875" style="1" bestFit="1" customWidth="1"/>
    <col min="8449" max="8450" width="10.54296875" style="1" customWidth="1"/>
    <col min="8451" max="8451" width="16.81640625" style="1" customWidth="1"/>
    <col min="8452" max="8453" width="8.7265625" style="1"/>
    <col min="8454" max="8454" width="13.1796875" style="1" bestFit="1" customWidth="1"/>
    <col min="8455" max="8695" width="8.7265625" style="1"/>
    <col min="8696" max="8696" width="6.08984375" style="1" bestFit="1" customWidth="1"/>
    <col min="8697" max="8697" width="28.6328125" style="1" bestFit="1" customWidth="1"/>
    <col min="8698" max="8698" width="8.6328125" style="1" customWidth="1"/>
    <col min="8699" max="8699" width="9.08984375" style="1" customWidth="1"/>
    <col min="8700" max="8700" width="10.54296875" style="1" bestFit="1" customWidth="1"/>
    <col min="8701" max="8701" width="10.54296875" style="1" customWidth="1"/>
    <col min="8702" max="8702" width="11.7265625" style="1" bestFit="1" customWidth="1"/>
    <col min="8703" max="8703" width="10.54296875" style="1" customWidth="1"/>
    <col min="8704" max="8704" width="11.1796875" style="1" bestFit="1" customWidth="1"/>
    <col min="8705" max="8706" width="10.54296875" style="1" customWidth="1"/>
    <col min="8707" max="8707" width="16.81640625" style="1" customWidth="1"/>
    <col min="8708" max="8709" width="8.7265625" style="1"/>
    <col min="8710" max="8710" width="13.1796875" style="1" bestFit="1" customWidth="1"/>
    <col min="8711" max="8951" width="8.7265625" style="1"/>
    <col min="8952" max="8952" width="6.08984375" style="1" bestFit="1" customWidth="1"/>
    <col min="8953" max="8953" width="28.6328125" style="1" bestFit="1" customWidth="1"/>
    <col min="8954" max="8954" width="8.6328125" style="1" customWidth="1"/>
    <col min="8955" max="8955" width="9.08984375" style="1" customWidth="1"/>
    <col min="8956" max="8956" width="10.54296875" style="1" bestFit="1" customWidth="1"/>
    <col min="8957" max="8957" width="10.54296875" style="1" customWidth="1"/>
    <col min="8958" max="8958" width="11.7265625" style="1" bestFit="1" customWidth="1"/>
    <col min="8959" max="8959" width="10.54296875" style="1" customWidth="1"/>
    <col min="8960" max="8960" width="11.1796875" style="1" bestFit="1" customWidth="1"/>
    <col min="8961" max="8962" width="10.54296875" style="1" customWidth="1"/>
    <col min="8963" max="8963" width="16.81640625" style="1" customWidth="1"/>
    <col min="8964" max="8965" width="8.7265625" style="1"/>
    <col min="8966" max="8966" width="13.1796875" style="1" bestFit="1" customWidth="1"/>
    <col min="8967" max="9207" width="8.7265625" style="1"/>
    <col min="9208" max="9208" width="6.08984375" style="1" bestFit="1" customWidth="1"/>
    <col min="9209" max="9209" width="28.6328125" style="1" bestFit="1" customWidth="1"/>
    <col min="9210" max="9210" width="8.6328125" style="1" customWidth="1"/>
    <col min="9211" max="9211" width="9.08984375" style="1" customWidth="1"/>
    <col min="9212" max="9212" width="10.54296875" style="1" bestFit="1" customWidth="1"/>
    <col min="9213" max="9213" width="10.54296875" style="1" customWidth="1"/>
    <col min="9214" max="9214" width="11.7265625" style="1" bestFit="1" customWidth="1"/>
    <col min="9215" max="9215" width="10.54296875" style="1" customWidth="1"/>
    <col min="9216" max="9216" width="11.1796875" style="1" bestFit="1" customWidth="1"/>
    <col min="9217" max="9218" width="10.54296875" style="1" customWidth="1"/>
    <col min="9219" max="9219" width="16.81640625" style="1" customWidth="1"/>
    <col min="9220" max="9221" width="8.7265625" style="1"/>
    <col min="9222" max="9222" width="13.1796875" style="1" bestFit="1" customWidth="1"/>
    <col min="9223" max="9463" width="8.7265625" style="1"/>
    <col min="9464" max="9464" width="6.08984375" style="1" bestFit="1" customWidth="1"/>
    <col min="9465" max="9465" width="28.6328125" style="1" bestFit="1" customWidth="1"/>
    <col min="9466" max="9466" width="8.6328125" style="1" customWidth="1"/>
    <col min="9467" max="9467" width="9.08984375" style="1" customWidth="1"/>
    <col min="9468" max="9468" width="10.54296875" style="1" bestFit="1" customWidth="1"/>
    <col min="9469" max="9469" width="10.54296875" style="1" customWidth="1"/>
    <col min="9470" max="9470" width="11.7265625" style="1" bestFit="1" customWidth="1"/>
    <col min="9471" max="9471" width="10.54296875" style="1" customWidth="1"/>
    <col min="9472" max="9472" width="11.1796875" style="1" bestFit="1" customWidth="1"/>
    <col min="9473" max="9474" width="10.54296875" style="1" customWidth="1"/>
    <col min="9475" max="9475" width="16.81640625" style="1" customWidth="1"/>
    <col min="9476" max="9477" width="8.7265625" style="1"/>
    <col min="9478" max="9478" width="13.1796875" style="1" bestFit="1" customWidth="1"/>
    <col min="9479" max="9719" width="8.7265625" style="1"/>
    <col min="9720" max="9720" width="6.08984375" style="1" bestFit="1" customWidth="1"/>
    <col min="9721" max="9721" width="28.6328125" style="1" bestFit="1" customWidth="1"/>
    <col min="9722" max="9722" width="8.6328125" style="1" customWidth="1"/>
    <col min="9723" max="9723" width="9.08984375" style="1" customWidth="1"/>
    <col min="9724" max="9724" width="10.54296875" style="1" bestFit="1" customWidth="1"/>
    <col min="9725" max="9725" width="10.54296875" style="1" customWidth="1"/>
    <col min="9726" max="9726" width="11.7265625" style="1" bestFit="1" customWidth="1"/>
    <col min="9727" max="9727" width="10.54296875" style="1" customWidth="1"/>
    <col min="9728" max="9728" width="11.1796875" style="1" bestFit="1" customWidth="1"/>
    <col min="9729" max="9730" width="10.54296875" style="1" customWidth="1"/>
    <col min="9731" max="9731" width="16.81640625" style="1" customWidth="1"/>
    <col min="9732" max="9733" width="8.7265625" style="1"/>
    <col min="9734" max="9734" width="13.1796875" style="1" bestFit="1" customWidth="1"/>
    <col min="9735" max="9975" width="8.7265625" style="1"/>
    <col min="9976" max="9976" width="6.08984375" style="1" bestFit="1" customWidth="1"/>
    <col min="9977" max="9977" width="28.6328125" style="1" bestFit="1" customWidth="1"/>
    <col min="9978" max="9978" width="8.6328125" style="1" customWidth="1"/>
    <col min="9979" max="9979" width="9.08984375" style="1" customWidth="1"/>
    <col min="9980" max="9980" width="10.54296875" style="1" bestFit="1" customWidth="1"/>
    <col min="9981" max="9981" width="10.54296875" style="1" customWidth="1"/>
    <col min="9982" max="9982" width="11.7265625" style="1" bestFit="1" customWidth="1"/>
    <col min="9983" max="9983" width="10.54296875" style="1" customWidth="1"/>
    <col min="9984" max="9984" width="11.1796875" style="1" bestFit="1" customWidth="1"/>
    <col min="9985" max="9986" width="10.54296875" style="1" customWidth="1"/>
    <col min="9987" max="9987" width="16.81640625" style="1" customWidth="1"/>
    <col min="9988" max="9989" width="8.7265625" style="1"/>
    <col min="9990" max="9990" width="13.1796875" style="1" bestFit="1" customWidth="1"/>
    <col min="9991" max="10231" width="8.7265625" style="1"/>
    <col min="10232" max="10232" width="6.08984375" style="1" bestFit="1" customWidth="1"/>
    <col min="10233" max="10233" width="28.6328125" style="1" bestFit="1" customWidth="1"/>
    <col min="10234" max="10234" width="8.6328125" style="1" customWidth="1"/>
    <col min="10235" max="10235" width="9.08984375" style="1" customWidth="1"/>
    <col min="10236" max="10236" width="10.54296875" style="1" bestFit="1" customWidth="1"/>
    <col min="10237" max="10237" width="10.54296875" style="1" customWidth="1"/>
    <col min="10238" max="10238" width="11.7265625" style="1" bestFit="1" customWidth="1"/>
    <col min="10239" max="10239" width="10.54296875" style="1" customWidth="1"/>
    <col min="10240" max="10240" width="11.1796875" style="1" bestFit="1" customWidth="1"/>
    <col min="10241" max="10242" width="10.54296875" style="1" customWidth="1"/>
    <col min="10243" max="10243" width="16.81640625" style="1" customWidth="1"/>
    <col min="10244" max="10245" width="8.7265625" style="1"/>
    <col min="10246" max="10246" width="13.1796875" style="1" bestFit="1" customWidth="1"/>
    <col min="10247" max="10487" width="8.7265625" style="1"/>
    <col min="10488" max="10488" width="6.08984375" style="1" bestFit="1" customWidth="1"/>
    <col min="10489" max="10489" width="28.6328125" style="1" bestFit="1" customWidth="1"/>
    <col min="10490" max="10490" width="8.6328125" style="1" customWidth="1"/>
    <col min="10491" max="10491" width="9.08984375" style="1" customWidth="1"/>
    <col min="10492" max="10492" width="10.54296875" style="1" bestFit="1" customWidth="1"/>
    <col min="10493" max="10493" width="10.54296875" style="1" customWidth="1"/>
    <col min="10494" max="10494" width="11.7265625" style="1" bestFit="1" customWidth="1"/>
    <col min="10495" max="10495" width="10.54296875" style="1" customWidth="1"/>
    <col min="10496" max="10496" width="11.1796875" style="1" bestFit="1" customWidth="1"/>
    <col min="10497" max="10498" width="10.54296875" style="1" customWidth="1"/>
    <col min="10499" max="10499" width="16.81640625" style="1" customWidth="1"/>
    <col min="10500" max="10501" width="8.7265625" style="1"/>
    <col min="10502" max="10502" width="13.1796875" style="1" bestFit="1" customWidth="1"/>
    <col min="10503" max="10743" width="8.7265625" style="1"/>
    <col min="10744" max="10744" width="6.08984375" style="1" bestFit="1" customWidth="1"/>
    <col min="10745" max="10745" width="28.6328125" style="1" bestFit="1" customWidth="1"/>
    <col min="10746" max="10746" width="8.6328125" style="1" customWidth="1"/>
    <col min="10747" max="10747" width="9.08984375" style="1" customWidth="1"/>
    <col min="10748" max="10748" width="10.54296875" style="1" bestFit="1" customWidth="1"/>
    <col min="10749" max="10749" width="10.54296875" style="1" customWidth="1"/>
    <col min="10750" max="10750" width="11.7265625" style="1" bestFit="1" customWidth="1"/>
    <col min="10751" max="10751" width="10.54296875" style="1" customWidth="1"/>
    <col min="10752" max="10752" width="11.1796875" style="1" bestFit="1" customWidth="1"/>
    <col min="10753" max="10754" width="10.54296875" style="1" customWidth="1"/>
    <col min="10755" max="10755" width="16.81640625" style="1" customWidth="1"/>
    <col min="10756" max="10757" width="8.7265625" style="1"/>
    <col min="10758" max="10758" width="13.1796875" style="1" bestFit="1" customWidth="1"/>
    <col min="10759" max="10999" width="8.7265625" style="1"/>
    <col min="11000" max="11000" width="6.08984375" style="1" bestFit="1" customWidth="1"/>
    <col min="11001" max="11001" width="28.6328125" style="1" bestFit="1" customWidth="1"/>
    <col min="11002" max="11002" width="8.6328125" style="1" customWidth="1"/>
    <col min="11003" max="11003" width="9.08984375" style="1" customWidth="1"/>
    <col min="11004" max="11004" width="10.54296875" style="1" bestFit="1" customWidth="1"/>
    <col min="11005" max="11005" width="10.54296875" style="1" customWidth="1"/>
    <col min="11006" max="11006" width="11.7265625" style="1" bestFit="1" customWidth="1"/>
    <col min="11007" max="11007" width="10.54296875" style="1" customWidth="1"/>
    <col min="11008" max="11008" width="11.1796875" style="1" bestFit="1" customWidth="1"/>
    <col min="11009" max="11010" width="10.54296875" style="1" customWidth="1"/>
    <col min="11011" max="11011" width="16.81640625" style="1" customWidth="1"/>
    <col min="11012" max="11013" width="8.7265625" style="1"/>
    <col min="11014" max="11014" width="13.1796875" style="1" bestFit="1" customWidth="1"/>
    <col min="11015" max="11255" width="8.7265625" style="1"/>
    <col min="11256" max="11256" width="6.08984375" style="1" bestFit="1" customWidth="1"/>
    <col min="11257" max="11257" width="28.6328125" style="1" bestFit="1" customWidth="1"/>
    <col min="11258" max="11258" width="8.6328125" style="1" customWidth="1"/>
    <col min="11259" max="11259" width="9.08984375" style="1" customWidth="1"/>
    <col min="11260" max="11260" width="10.54296875" style="1" bestFit="1" customWidth="1"/>
    <col min="11261" max="11261" width="10.54296875" style="1" customWidth="1"/>
    <col min="11262" max="11262" width="11.7265625" style="1" bestFit="1" customWidth="1"/>
    <col min="11263" max="11263" width="10.54296875" style="1" customWidth="1"/>
    <col min="11264" max="11264" width="11.1796875" style="1" bestFit="1" customWidth="1"/>
    <col min="11265" max="11266" width="10.54296875" style="1" customWidth="1"/>
    <col min="11267" max="11267" width="16.81640625" style="1" customWidth="1"/>
    <col min="11268" max="11269" width="8.7265625" style="1"/>
    <col min="11270" max="11270" width="13.1796875" style="1" bestFit="1" customWidth="1"/>
    <col min="11271" max="11511" width="8.7265625" style="1"/>
    <col min="11512" max="11512" width="6.08984375" style="1" bestFit="1" customWidth="1"/>
    <col min="11513" max="11513" width="28.6328125" style="1" bestFit="1" customWidth="1"/>
    <col min="11514" max="11514" width="8.6328125" style="1" customWidth="1"/>
    <col min="11515" max="11515" width="9.08984375" style="1" customWidth="1"/>
    <col min="11516" max="11516" width="10.54296875" style="1" bestFit="1" customWidth="1"/>
    <col min="11517" max="11517" width="10.54296875" style="1" customWidth="1"/>
    <col min="11518" max="11518" width="11.7265625" style="1" bestFit="1" customWidth="1"/>
    <col min="11519" max="11519" width="10.54296875" style="1" customWidth="1"/>
    <col min="11520" max="11520" width="11.1796875" style="1" bestFit="1" customWidth="1"/>
    <col min="11521" max="11522" width="10.54296875" style="1" customWidth="1"/>
    <col min="11523" max="11523" width="16.81640625" style="1" customWidth="1"/>
    <col min="11524" max="11525" width="8.7265625" style="1"/>
    <col min="11526" max="11526" width="13.1796875" style="1" bestFit="1" customWidth="1"/>
    <col min="11527" max="11767" width="8.7265625" style="1"/>
    <col min="11768" max="11768" width="6.08984375" style="1" bestFit="1" customWidth="1"/>
    <col min="11769" max="11769" width="28.6328125" style="1" bestFit="1" customWidth="1"/>
    <col min="11770" max="11770" width="8.6328125" style="1" customWidth="1"/>
    <col min="11771" max="11771" width="9.08984375" style="1" customWidth="1"/>
    <col min="11772" max="11772" width="10.54296875" style="1" bestFit="1" customWidth="1"/>
    <col min="11773" max="11773" width="10.54296875" style="1" customWidth="1"/>
    <col min="11774" max="11774" width="11.7265625" style="1" bestFit="1" customWidth="1"/>
    <col min="11775" max="11775" width="10.54296875" style="1" customWidth="1"/>
    <col min="11776" max="11776" width="11.1796875" style="1" bestFit="1" customWidth="1"/>
    <col min="11777" max="11778" width="10.54296875" style="1" customWidth="1"/>
    <col min="11779" max="11779" width="16.81640625" style="1" customWidth="1"/>
    <col min="11780" max="11781" width="8.7265625" style="1"/>
    <col min="11782" max="11782" width="13.1796875" style="1" bestFit="1" customWidth="1"/>
    <col min="11783" max="12023" width="8.7265625" style="1"/>
    <col min="12024" max="12024" width="6.08984375" style="1" bestFit="1" customWidth="1"/>
    <col min="12025" max="12025" width="28.6328125" style="1" bestFit="1" customWidth="1"/>
    <col min="12026" max="12026" width="8.6328125" style="1" customWidth="1"/>
    <col min="12027" max="12027" width="9.08984375" style="1" customWidth="1"/>
    <col min="12028" max="12028" width="10.54296875" style="1" bestFit="1" customWidth="1"/>
    <col min="12029" max="12029" width="10.54296875" style="1" customWidth="1"/>
    <col min="12030" max="12030" width="11.7265625" style="1" bestFit="1" customWidth="1"/>
    <col min="12031" max="12031" width="10.54296875" style="1" customWidth="1"/>
    <col min="12032" max="12032" width="11.1796875" style="1" bestFit="1" customWidth="1"/>
    <col min="12033" max="12034" width="10.54296875" style="1" customWidth="1"/>
    <col min="12035" max="12035" width="16.81640625" style="1" customWidth="1"/>
    <col min="12036" max="12037" width="8.7265625" style="1"/>
    <col min="12038" max="12038" width="13.1796875" style="1" bestFit="1" customWidth="1"/>
    <col min="12039" max="12279" width="8.7265625" style="1"/>
    <col min="12280" max="12280" width="6.08984375" style="1" bestFit="1" customWidth="1"/>
    <col min="12281" max="12281" width="28.6328125" style="1" bestFit="1" customWidth="1"/>
    <col min="12282" max="12282" width="8.6328125" style="1" customWidth="1"/>
    <col min="12283" max="12283" width="9.08984375" style="1" customWidth="1"/>
    <col min="12284" max="12284" width="10.54296875" style="1" bestFit="1" customWidth="1"/>
    <col min="12285" max="12285" width="10.54296875" style="1" customWidth="1"/>
    <col min="12286" max="12286" width="11.7265625" style="1" bestFit="1" customWidth="1"/>
    <col min="12287" max="12287" width="10.54296875" style="1" customWidth="1"/>
    <col min="12288" max="12288" width="11.1796875" style="1" bestFit="1" customWidth="1"/>
    <col min="12289" max="12290" width="10.54296875" style="1" customWidth="1"/>
    <col min="12291" max="12291" width="16.81640625" style="1" customWidth="1"/>
    <col min="12292" max="12293" width="8.7265625" style="1"/>
    <col min="12294" max="12294" width="13.1796875" style="1" bestFit="1" customWidth="1"/>
    <col min="12295" max="12535" width="8.7265625" style="1"/>
    <col min="12536" max="12536" width="6.08984375" style="1" bestFit="1" customWidth="1"/>
    <col min="12537" max="12537" width="28.6328125" style="1" bestFit="1" customWidth="1"/>
    <col min="12538" max="12538" width="8.6328125" style="1" customWidth="1"/>
    <col min="12539" max="12539" width="9.08984375" style="1" customWidth="1"/>
    <col min="12540" max="12540" width="10.54296875" style="1" bestFit="1" customWidth="1"/>
    <col min="12541" max="12541" width="10.54296875" style="1" customWidth="1"/>
    <col min="12542" max="12542" width="11.7265625" style="1" bestFit="1" customWidth="1"/>
    <col min="12543" max="12543" width="10.54296875" style="1" customWidth="1"/>
    <col min="12544" max="12544" width="11.1796875" style="1" bestFit="1" customWidth="1"/>
    <col min="12545" max="12546" width="10.54296875" style="1" customWidth="1"/>
    <col min="12547" max="12547" width="16.81640625" style="1" customWidth="1"/>
    <col min="12548" max="12549" width="8.7265625" style="1"/>
    <col min="12550" max="12550" width="13.1796875" style="1" bestFit="1" customWidth="1"/>
    <col min="12551" max="12791" width="8.7265625" style="1"/>
    <col min="12792" max="12792" width="6.08984375" style="1" bestFit="1" customWidth="1"/>
    <col min="12793" max="12793" width="28.6328125" style="1" bestFit="1" customWidth="1"/>
    <col min="12794" max="12794" width="8.6328125" style="1" customWidth="1"/>
    <col min="12795" max="12795" width="9.08984375" style="1" customWidth="1"/>
    <col min="12796" max="12796" width="10.54296875" style="1" bestFit="1" customWidth="1"/>
    <col min="12797" max="12797" width="10.54296875" style="1" customWidth="1"/>
    <col min="12798" max="12798" width="11.7265625" style="1" bestFit="1" customWidth="1"/>
    <col min="12799" max="12799" width="10.54296875" style="1" customWidth="1"/>
    <col min="12800" max="12800" width="11.1796875" style="1" bestFit="1" customWidth="1"/>
    <col min="12801" max="12802" width="10.54296875" style="1" customWidth="1"/>
    <col min="12803" max="12803" width="16.81640625" style="1" customWidth="1"/>
    <col min="12804" max="12805" width="8.7265625" style="1"/>
    <col min="12806" max="12806" width="13.1796875" style="1" bestFit="1" customWidth="1"/>
    <col min="12807" max="13047" width="8.7265625" style="1"/>
    <col min="13048" max="13048" width="6.08984375" style="1" bestFit="1" customWidth="1"/>
    <col min="13049" max="13049" width="28.6328125" style="1" bestFit="1" customWidth="1"/>
    <col min="13050" max="13050" width="8.6328125" style="1" customWidth="1"/>
    <col min="13051" max="13051" width="9.08984375" style="1" customWidth="1"/>
    <col min="13052" max="13052" width="10.54296875" style="1" bestFit="1" customWidth="1"/>
    <col min="13053" max="13053" width="10.54296875" style="1" customWidth="1"/>
    <col min="13054" max="13054" width="11.7265625" style="1" bestFit="1" customWidth="1"/>
    <col min="13055" max="13055" width="10.54296875" style="1" customWidth="1"/>
    <col min="13056" max="13056" width="11.1796875" style="1" bestFit="1" customWidth="1"/>
    <col min="13057" max="13058" width="10.54296875" style="1" customWidth="1"/>
    <col min="13059" max="13059" width="16.81640625" style="1" customWidth="1"/>
    <col min="13060" max="13061" width="8.7265625" style="1"/>
    <col min="13062" max="13062" width="13.1796875" style="1" bestFit="1" customWidth="1"/>
    <col min="13063" max="13303" width="8.7265625" style="1"/>
    <col min="13304" max="13304" width="6.08984375" style="1" bestFit="1" customWidth="1"/>
    <col min="13305" max="13305" width="28.6328125" style="1" bestFit="1" customWidth="1"/>
    <col min="13306" max="13306" width="8.6328125" style="1" customWidth="1"/>
    <col min="13307" max="13307" width="9.08984375" style="1" customWidth="1"/>
    <col min="13308" max="13308" width="10.54296875" style="1" bestFit="1" customWidth="1"/>
    <col min="13309" max="13309" width="10.54296875" style="1" customWidth="1"/>
    <col min="13310" max="13310" width="11.7265625" style="1" bestFit="1" customWidth="1"/>
    <col min="13311" max="13311" width="10.54296875" style="1" customWidth="1"/>
    <col min="13312" max="13312" width="11.1796875" style="1" bestFit="1" customWidth="1"/>
    <col min="13313" max="13314" width="10.54296875" style="1" customWidth="1"/>
    <col min="13315" max="13315" width="16.81640625" style="1" customWidth="1"/>
    <col min="13316" max="13317" width="8.7265625" style="1"/>
    <col min="13318" max="13318" width="13.1796875" style="1" bestFit="1" customWidth="1"/>
    <col min="13319" max="13559" width="8.7265625" style="1"/>
    <col min="13560" max="13560" width="6.08984375" style="1" bestFit="1" customWidth="1"/>
    <col min="13561" max="13561" width="28.6328125" style="1" bestFit="1" customWidth="1"/>
    <col min="13562" max="13562" width="8.6328125" style="1" customWidth="1"/>
    <col min="13563" max="13563" width="9.08984375" style="1" customWidth="1"/>
    <col min="13564" max="13564" width="10.54296875" style="1" bestFit="1" customWidth="1"/>
    <col min="13565" max="13565" width="10.54296875" style="1" customWidth="1"/>
    <col min="13566" max="13566" width="11.7265625" style="1" bestFit="1" customWidth="1"/>
    <col min="13567" max="13567" width="10.54296875" style="1" customWidth="1"/>
    <col min="13568" max="13568" width="11.1796875" style="1" bestFit="1" customWidth="1"/>
    <col min="13569" max="13570" width="10.54296875" style="1" customWidth="1"/>
    <col min="13571" max="13571" width="16.81640625" style="1" customWidth="1"/>
    <col min="13572" max="13573" width="8.7265625" style="1"/>
    <col min="13574" max="13574" width="13.1796875" style="1" bestFit="1" customWidth="1"/>
    <col min="13575" max="13815" width="8.7265625" style="1"/>
    <col min="13816" max="13816" width="6.08984375" style="1" bestFit="1" customWidth="1"/>
    <col min="13817" max="13817" width="28.6328125" style="1" bestFit="1" customWidth="1"/>
    <col min="13818" max="13818" width="8.6328125" style="1" customWidth="1"/>
    <col min="13819" max="13819" width="9.08984375" style="1" customWidth="1"/>
    <col min="13820" max="13820" width="10.54296875" style="1" bestFit="1" customWidth="1"/>
    <col min="13821" max="13821" width="10.54296875" style="1" customWidth="1"/>
    <col min="13822" max="13822" width="11.7265625" style="1" bestFit="1" customWidth="1"/>
    <col min="13823" max="13823" width="10.54296875" style="1" customWidth="1"/>
    <col min="13824" max="13824" width="11.1796875" style="1" bestFit="1" customWidth="1"/>
    <col min="13825" max="13826" width="10.54296875" style="1" customWidth="1"/>
    <col min="13827" max="13827" width="16.81640625" style="1" customWidth="1"/>
    <col min="13828" max="13829" width="8.7265625" style="1"/>
    <col min="13830" max="13830" width="13.1796875" style="1" bestFit="1" customWidth="1"/>
    <col min="13831" max="14071" width="8.7265625" style="1"/>
    <col min="14072" max="14072" width="6.08984375" style="1" bestFit="1" customWidth="1"/>
    <col min="14073" max="14073" width="28.6328125" style="1" bestFit="1" customWidth="1"/>
    <col min="14074" max="14074" width="8.6328125" style="1" customWidth="1"/>
    <col min="14075" max="14075" width="9.08984375" style="1" customWidth="1"/>
    <col min="14076" max="14076" width="10.54296875" style="1" bestFit="1" customWidth="1"/>
    <col min="14077" max="14077" width="10.54296875" style="1" customWidth="1"/>
    <col min="14078" max="14078" width="11.7265625" style="1" bestFit="1" customWidth="1"/>
    <col min="14079" max="14079" width="10.54296875" style="1" customWidth="1"/>
    <col min="14080" max="14080" width="11.1796875" style="1" bestFit="1" customWidth="1"/>
    <col min="14081" max="14082" width="10.54296875" style="1" customWidth="1"/>
    <col min="14083" max="14083" width="16.81640625" style="1" customWidth="1"/>
    <col min="14084" max="14085" width="8.7265625" style="1"/>
    <col min="14086" max="14086" width="13.1796875" style="1" bestFit="1" customWidth="1"/>
    <col min="14087" max="14327" width="8.7265625" style="1"/>
    <col min="14328" max="14328" width="6.08984375" style="1" bestFit="1" customWidth="1"/>
    <col min="14329" max="14329" width="28.6328125" style="1" bestFit="1" customWidth="1"/>
    <col min="14330" max="14330" width="8.6328125" style="1" customWidth="1"/>
    <col min="14331" max="14331" width="9.08984375" style="1" customWidth="1"/>
    <col min="14332" max="14332" width="10.54296875" style="1" bestFit="1" customWidth="1"/>
    <col min="14333" max="14333" width="10.54296875" style="1" customWidth="1"/>
    <col min="14334" max="14334" width="11.7265625" style="1" bestFit="1" customWidth="1"/>
    <col min="14335" max="14335" width="10.54296875" style="1" customWidth="1"/>
    <col min="14336" max="14336" width="11.1796875" style="1" bestFit="1" customWidth="1"/>
    <col min="14337" max="14338" width="10.54296875" style="1" customWidth="1"/>
    <col min="14339" max="14339" width="16.81640625" style="1" customWidth="1"/>
    <col min="14340" max="14341" width="8.7265625" style="1"/>
    <col min="14342" max="14342" width="13.1796875" style="1" bestFit="1" customWidth="1"/>
    <col min="14343" max="14583" width="8.7265625" style="1"/>
    <col min="14584" max="14584" width="6.08984375" style="1" bestFit="1" customWidth="1"/>
    <col min="14585" max="14585" width="28.6328125" style="1" bestFit="1" customWidth="1"/>
    <col min="14586" max="14586" width="8.6328125" style="1" customWidth="1"/>
    <col min="14587" max="14587" width="9.08984375" style="1" customWidth="1"/>
    <col min="14588" max="14588" width="10.54296875" style="1" bestFit="1" customWidth="1"/>
    <col min="14589" max="14589" width="10.54296875" style="1" customWidth="1"/>
    <col min="14590" max="14590" width="11.7265625" style="1" bestFit="1" customWidth="1"/>
    <col min="14591" max="14591" width="10.54296875" style="1" customWidth="1"/>
    <col min="14592" max="14592" width="11.1796875" style="1" bestFit="1" customWidth="1"/>
    <col min="14593" max="14594" width="10.54296875" style="1" customWidth="1"/>
    <col min="14595" max="14595" width="16.81640625" style="1" customWidth="1"/>
    <col min="14596" max="14597" width="8.7265625" style="1"/>
    <col min="14598" max="14598" width="13.1796875" style="1" bestFit="1" customWidth="1"/>
    <col min="14599" max="14839" width="8.7265625" style="1"/>
    <col min="14840" max="14840" width="6.08984375" style="1" bestFit="1" customWidth="1"/>
    <col min="14841" max="14841" width="28.6328125" style="1" bestFit="1" customWidth="1"/>
    <col min="14842" max="14842" width="8.6328125" style="1" customWidth="1"/>
    <col min="14843" max="14843" width="9.08984375" style="1" customWidth="1"/>
    <col min="14844" max="14844" width="10.54296875" style="1" bestFit="1" customWidth="1"/>
    <col min="14845" max="14845" width="10.54296875" style="1" customWidth="1"/>
    <col min="14846" max="14846" width="11.7265625" style="1" bestFit="1" customWidth="1"/>
    <col min="14847" max="14847" width="10.54296875" style="1" customWidth="1"/>
    <col min="14848" max="14848" width="11.1796875" style="1" bestFit="1" customWidth="1"/>
    <col min="14849" max="14850" width="10.54296875" style="1" customWidth="1"/>
    <col min="14851" max="14851" width="16.81640625" style="1" customWidth="1"/>
    <col min="14852" max="14853" width="8.7265625" style="1"/>
    <col min="14854" max="14854" width="13.1796875" style="1" bestFit="1" customWidth="1"/>
    <col min="14855" max="15095" width="8.7265625" style="1"/>
    <col min="15096" max="15096" width="6.08984375" style="1" bestFit="1" customWidth="1"/>
    <col min="15097" max="15097" width="28.6328125" style="1" bestFit="1" customWidth="1"/>
    <col min="15098" max="15098" width="8.6328125" style="1" customWidth="1"/>
    <col min="15099" max="15099" width="9.08984375" style="1" customWidth="1"/>
    <col min="15100" max="15100" width="10.54296875" style="1" bestFit="1" customWidth="1"/>
    <col min="15101" max="15101" width="10.54296875" style="1" customWidth="1"/>
    <col min="15102" max="15102" width="11.7265625" style="1" bestFit="1" customWidth="1"/>
    <col min="15103" max="15103" width="10.54296875" style="1" customWidth="1"/>
    <col min="15104" max="15104" width="11.1796875" style="1" bestFit="1" customWidth="1"/>
    <col min="15105" max="15106" width="10.54296875" style="1" customWidth="1"/>
    <col min="15107" max="15107" width="16.81640625" style="1" customWidth="1"/>
    <col min="15108" max="15109" width="8.7265625" style="1"/>
    <col min="15110" max="15110" width="13.1796875" style="1" bestFit="1" customWidth="1"/>
    <col min="15111" max="15351" width="8.7265625" style="1"/>
    <col min="15352" max="15352" width="6.08984375" style="1" bestFit="1" customWidth="1"/>
    <col min="15353" max="15353" width="28.6328125" style="1" bestFit="1" customWidth="1"/>
    <col min="15354" max="15354" width="8.6328125" style="1" customWidth="1"/>
    <col min="15355" max="15355" width="9.08984375" style="1" customWidth="1"/>
    <col min="15356" max="15356" width="10.54296875" style="1" bestFit="1" customWidth="1"/>
    <col min="15357" max="15357" width="10.54296875" style="1" customWidth="1"/>
    <col min="15358" max="15358" width="11.7265625" style="1" bestFit="1" customWidth="1"/>
    <col min="15359" max="15359" width="10.54296875" style="1" customWidth="1"/>
    <col min="15360" max="15360" width="11.1796875" style="1" bestFit="1" customWidth="1"/>
    <col min="15361" max="15362" width="10.54296875" style="1" customWidth="1"/>
    <col min="15363" max="15363" width="16.81640625" style="1" customWidth="1"/>
    <col min="15364" max="15365" width="8.7265625" style="1"/>
    <col min="15366" max="15366" width="13.1796875" style="1" bestFit="1" customWidth="1"/>
    <col min="15367" max="15607" width="8.7265625" style="1"/>
    <col min="15608" max="15608" width="6.08984375" style="1" bestFit="1" customWidth="1"/>
    <col min="15609" max="15609" width="28.6328125" style="1" bestFit="1" customWidth="1"/>
    <col min="15610" max="15610" width="8.6328125" style="1" customWidth="1"/>
    <col min="15611" max="15611" width="9.08984375" style="1" customWidth="1"/>
    <col min="15612" max="15612" width="10.54296875" style="1" bestFit="1" customWidth="1"/>
    <col min="15613" max="15613" width="10.54296875" style="1" customWidth="1"/>
    <col min="15614" max="15614" width="11.7265625" style="1" bestFit="1" customWidth="1"/>
    <col min="15615" max="15615" width="10.54296875" style="1" customWidth="1"/>
    <col min="15616" max="15616" width="11.1796875" style="1" bestFit="1" customWidth="1"/>
    <col min="15617" max="15618" width="10.54296875" style="1" customWidth="1"/>
    <col min="15619" max="15619" width="16.81640625" style="1" customWidth="1"/>
    <col min="15620" max="15621" width="8.7265625" style="1"/>
    <col min="15622" max="15622" width="13.1796875" style="1" bestFit="1" customWidth="1"/>
    <col min="15623" max="15863" width="8.7265625" style="1"/>
    <col min="15864" max="15864" width="6.08984375" style="1" bestFit="1" customWidth="1"/>
    <col min="15865" max="15865" width="28.6328125" style="1" bestFit="1" customWidth="1"/>
    <col min="15866" max="15866" width="8.6328125" style="1" customWidth="1"/>
    <col min="15867" max="15867" width="9.08984375" style="1" customWidth="1"/>
    <col min="15868" max="15868" width="10.54296875" style="1" bestFit="1" customWidth="1"/>
    <col min="15869" max="15869" width="10.54296875" style="1" customWidth="1"/>
    <col min="15870" max="15870" width="11.7265625" style="1" bestFit="1" customWidth="1"/>
    <col min="15871" max="15871" width="10.54296875" style="1" customWidth="1"/>
    <col min="15872" max="15872" width="11.1796875" style="1" bestFit="1" customWidth="1"/>
    <col min="15873" max="15874" width="10.54296875" style="1" customWidth="1"/>
    <col min="15875" max="15875" width="16.81640625" style="1" customWidth="1"/>
    <col min="15876" max="15877" width="8.7265625" style="1"/>
    <col min="15878" max="15878" width="13.1796875" style="1" bestFit="1" customWidth="1"/>
    <col min="15879" max="16119" width="8.7265625" style="1"/>
    <col min="16120" max="16120" width="6.08984375" style="1" bestFit="1" customWidth="1"/>
    <col min="16121" max="16121" width="28.6328125" style="1" bestFit="1" customWidth="1"/>
    <col min="16122" max="16122" width="8.6328125" style="1" customWidth="1"/>
    <col min="16123" max="16123" width="9.08984375" style="1" customWidth="1"/>
    <col min="16124" max="16124" width="10.54296875" style="1" bestFit="1" customWidth="1"/>
    <col min="16125" max="16125" width="10.54296875" style="1" customWidth="1"/>
    <col min="16126" max="16126" width="11.7265625" style="1" bestFit="1" customWidth="1"/>
    <col min="16127" max="16127" width="10.54296875" style="1" customWidth="1"/>
    <col min="16128" max="16128" width="11.1796875" style="1" bestFit="1" customWidth="1"/>
    <col min="16129" max="16130" width="10.54296875" style="1" customWidth="1"/>
    <col min="16131" max="16131" width="16.81640625" style="1" customWidth="1"/>
    <col min="16132" max="16133" width="8.7265625" style="1"/>
    <col min="16134" max="16134" width="13.1796875" style="1" bestFit="1" customWidth="1"/>
    <col min="16135" max="16384" width="8.7265625" style="1"/>
  </cols>
  <sheetData>
    <row r="5" spans="2:10" x14ac:dyDescent="0.35">
      <c r="B5" s="129" t="s">
        <v>0</v>
      </c>
      <c r="C5" s="109"/>
      <c r="D5" s="109"/>
      <c r="E5" s="109"/>
      <c r="F5" s="109"/>
      <c r="G5" s="109"/>
      <c r="H5" s="109"/>
      <c r="I5" s="109"/>
      <c r="J5" s="130"/>
    </row>
    <row r="6" spans="2:10" x14ac:dyDescent="0.35">
      <c r="B6" s="2" t="s">
        <v>1</v>
      </c>
      <c r="C6" s="3" t="s">
        <v>2</v>
      </c>
      <c r="D6" s="3"/>
      <c r="E6" s="3"/>
      <c r="F6" s="3"/>
      <c r="G6" s="3"/>
      <c r="H6" s="3"/>
      <c r="I6" s="3"/>
      <c r="J6" s="3"/>
    </row>
    <row r="7" spans="2:10" ht="29" x14ac:dyDescent="0.35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5" t="s">
        <v>11</v>
      </c>
    </row>
    <row r="8" spans="2:10" x14ac:dyDescent="0.35">
      <c r="B8" s="6">
        <v>1</v>
      </c>
      <c r="C8" s="11" t="s">
        <v>12</v>
      </c>
      <c r="D8" s="6" t="s">
        <v>13</v>
      </c>
      <c r="E8" s="98">
        <v>1</v>
      </c>
      <c r="F8" s="9"/>
      <c r="G8" s="9"/>
      <c r="H8" s="9"/>
      <c r="I8" s="9"/>
      <c r="J8" s="10">
        <f t="shared" ref="J8:J15" si="0">SUM(E8:I8)</f>
        <v>1</v>
      </c>
    </row>
    <row r="9" spans="2:10" x14ac:dyDescent="0.35">
      <c r="B9" s="6">
        <f t="shared" ref="B9:B15" si="1">B8+1</f>
        <v>2</v>
      </c>
      <c r="C9" s="11" t="s">
        <v>14</v>
      </c>
      <c r="D9" s="6" t="s">
        <v>13</v>
      </c>
      <c r="E9" s="98">
        <v>1</v>
      </c>
      <c r="F9" s="9"/>
      <c r="G9" s="9"/>
      <c r="H9" s="9"/>
      <c r="I9" s="9"/>
      <c r="J9" s="10">
        <f t="shared" si="0"/>
        <v>1</v>
      </c>
    </row>
    <row r="10" spans="2:10" x14ac:dyDescent="0.35">
      <c r="B10" s="6">
        <f t="shared" si="1"/>
        <v>3</v>
      </c>
      <c r="C10" s="11" t="s">
        <v>15</v>
      </c>
      <c r="D10" s="6" t="s">
        <v>13</v>
      </c>
      <c r="E10" s="98">
        <v>1</v>
      </c>
      <c r="F10" s="9"/>
      <c r="G10" s="9"/>
      <c r="H10" s="9"/>
      <c r="I10" s="9"/>
      <c r="J10" s="10">
        <f t="shared" si="0"/>
        <v>1</v>
      </c>
    </row>
    <row r="11" spans="2:10" x14ac:dyDescent="0.35">
      <c r="B11" s="6">
        <f t="shared" si="1"/>
        <v>4</v>
      </c>
      <c r="C11" s="11" t="s">
        <v>16</v>
      </c>
      <c r="D11" s="6" t="s">
        <v>13</v>
      </c>
      <c r="E11" s="98">
        <v>1</v>
      </c>
      <c r="F11" s="9"/>
      <c r="G11" s="9"/>
      <c r="H11" s="9"/>
      <c r="I11" s="9"/>
      <c r="J11" s="10">
        <f t="shared" si="0"/>
        <v>1</v>
      </c>
    </row>
    <row r="12" spans="2:10" x14ac:dyDescent="0.35">
      <c r="B12" s="6">
        <f t="shared" si="1"/>
        <v>5</v>
      </c>
      <c r="C12" s="12" t="s">
        <v>17</v>
      </c>
      <c r="D12" s="6" t="s">
        <v>13</v>
      </c>
      <c r="E12" s="98">
        <v>1</v>
      </c>
      <c r="F12" s="9"/>
      <c r="G12" s="9"/>
      <c r="H12" s="9"/>
      <c r="I12" s="9"/>
      <c r="J12" s="10">
        <f t="shared" si="0"/>
        <v>1</v>
      </c>
    </row>
    <row r="13" spans="2:10" x14ac:dyDescent="0.35">
      <c r="B13" s="6">
        <f t="shared" si="1"/>
        <v>6</v>
      </c>
      <c r="C13" s="12" t="s">
        <v>18</v>
      </c>
      <c r="D13" s="6" t="s">
        <v>13</v>
      </c>
      <c r="E13" s="98">
        <v>1</v>
      </c>
      <c r="F13" s="9"/>
      <c r="G13" s="9"/>
      <c r="H13" s="9"/>
      <c r="I13" s="9"/>
      <c r="J13" s="10">
        <f t="shared" si="0"/>
        <v>1</v>
      </c>
    </row>
    <row r="14" spans="2:10" x14ac:dyDescent="0.35">
      <c r="B14" s="6">
        <f t="shared" si="1"/>
        <v>7</v>
      </c>
      <c r="C14" s="12" t="s">
        <v>19</v>
      </c>
      <c r="D14" s="6" t="s">
        <v>13</v>
      </c>
      <c r="E14" s="98">
        <v>1</v>
      </c>
      <c r="F14" s="9"/>
      <c r="G14" s="9"/>
      <c r="H14" s="9"/>
      <c r="I14" s="9"/>
      <c r="J14" s="10">
        <f t="shared" si="0"/>
        <v>1</v>
      </c>
    </row>
    <row r="15" spans="2:10" x14ac:dyDescent="0.35">
      <c r="B15" s="6">
        <f t="shared" si="1"/>
        <v>8</v>
      </c>
      <c r="C15" s="12" t="s">
        <v>20</v>
      </c>
      <c r="D15" s="6" t="s">
        <v>13</v>
      </c>
      <c r="E15" s="98">
        <v>1</v>
      </c>
      <c r="F15" s="9"/>
      <c r="G15" s="9"/>
      <c r="H15" s="9"/>
      <c r="I15" s="9"/>
      <c r="J15" s="10">
        <f t="shared" si="0"/>
        <v>1</v>
      </c>
    </row>
    <row r="16" spans="2:10" x14ac:dyDescent="0.35">
      <c r="B16" s="13" t="s">
        <v>1</v>
      </c>
      <c r="C16" s="14" t="s">
        <v>21</v>
      </c>
      <c r="D16" s="14"/>
      <c r="E16" s="14"/>
      <c r="F16" s="14"/>
      <c r="G16" s="14"/>
      <c r="H16" s="14"/>
      <c r="I16" s="14"/>
      <c r="J16" s="15">
        <f>SUM(J8:J15)</f>
        <v>8</v>
      </c>
    </row>
    <row r="17" spans="2:12" x14ac:dyDescent="0.35">
      <c r="B17" s="2" t="s">
        <v>22</v>
      </c>
      <c r="C17" s="3" t="s">
        <v>23</v>
      </c>
      <c r="D17" s="3"/>
      <c r="E17" s="3"/>
      <c r="F17" s="3"/>
      <c r="G17" s="3"/>
      <c r="H17" s="3"/>
      <c r="I17" s="3"/>
      <c r="J17" s="3"/>
    </row>
    <row r="18" spans="2:12" ht="29" x14ac:dyDescent="0.35"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4" t="s">
        <v>10</v>
      </c>
      <c r="J18" s="5" t="s">
        <v>11</v>
      </c>
    </row>
    <row r="19" spans="2:12" x14ac:dyDescent="0.35">
      <c r="B19" s="16">
        <v>1</v>
      </c>
      <c r="C19" s="7" t="s">
        <v>24</v>
      </c>
      <c r="D19" s="17" t="s">
        <v>13</v>
      </c>
      <c r="E19" s="16">
        <v>0</v>
      </c>
      <c r="F19" s="8">
        <v>1</v>
      </c>
      <c r="G19" s="8">
        <v>1</v>
      </c>
      <c r="H19" s="8">
        <v>1</v>
      </c>
      <c r="I19" s="8">
        <v>1</v>
      </c>
      <c r="J19" s="18">
        <f t="shared" ref="J19:J20" si="2">SUM(E19:I19)</f>
        <v>4</v>
      </c>
      <c r="K19" s="1">
        <v>0</v>
      </c>
    </row>
    <row r="20" spans="2:12" x14ac:dyDescent="0.35">
      <c r="B20" s="16">
        <v>2</v>
      </c>
      <c r="C20" s="7" t="s">
        <v>25</v>
      </c>
      <c r="D20" s="17" t="s">
        <v>13</v>
      </c>
      <c r="E20" s="16">
        <v>0</v>
      </c>
      <c r="F20" s="8">
        <v>1</v>
      </c>
      <c r="G20" s="8">
        <v>1</v>
      </c>
      <c r="H20" s="8">
        <v>1</v>
      </c>
      <c r="I20" s="8">
        <v>1</v>
      </c>
      <c r="J20" s="18">
        <f t="shared" si="2"/>
        <v>4</v>
      </c>
      <c r="K20" s="1">
        <v>2</v>
      </c>
    </row>
    <row r="21" spans="2:12" x14ac:dyDescent="0.35">
      <c r="B21" s="19" t="s">
        <v>22</v>
      </c>
      <c r="C21" s="20" t="s">
        <v>26</v>
      </c>
      <c r="D21" s="21"/>
      <c r="E21" s="21"/>
      <c r="F21" s="21"/>
      <c r="G21" s="21"/>
      <c r="H21" s="21"/>
      <c r="I21" s="22"/>
      <c r="J21" s="23">
        <f>SUM(J19:J20)</f>
        <v>8</v>
      </c>
    </row>
    <row r="22" spans="2:12" x14ac:dyDescent="0.35">
      <c r="B22" s="2" t="s">
        <v>27</v>
      </c>
      <c r="C22" s="3" t="s">
        <v>28</v>
      </c>
      <c r="D22" s="3"/>
      <c r="E22" s="3"/>
      <c r="F22" s="3"/>
      <c r="G22" s="3"/>
      <c r="H22" s="3"/>
      <c r="I22" s="3"/>
      <c r="J22" s="3"/>
    </row>
    <row r="23" spans="2:12" ht="29" x14ac:dyDescent="0.35"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10</v>
      </c>
      <c r="J23" s="5" t="s">
        <v>11</v>
      </c>
    </row>
    <row r="24" spans="2:12" x14ac:dyDescent="0.35">
      <c r="B24" s="24">
        <v>1</v>
      </c>
      <c r="C24" s="99" t="s">
        <v>29</v>
      </c>
      <c r="D24" s="6" t="s">
        <v>13</v>
      </c>
      <c r="E24" s="24">
        <v>1</v>
      </c>
      <c r="F24" s="98"/>
      <c r="G24" s="98"/>
      <c r="H24" s="98"/>
      <c r="I24" s="98"/>
      <c r="J24" s="33">
        <f t="shared" ref="J24:J34" si="3">SUM(E24:I24)</f>
        <v>1</v>
      </c>
    </row>
    <row r="25" spans="2:12" x14ac:dyDescent="0.35">
      <c r="B25" s="24">
        <v>2</v>
      </c>
      <c r="C25" s="99" t="s">
        <v>30</v>
      </c>
      <c r="D25" s="6" t="s">
        <v>13</v>
      </c>
      <c r="E25" s="24"/>
      <c r="F25" s="98">
        <v>1</v>
      </c>
      <c r="G25" s="98">
        <v>1</v>
      </c>
      <c r="H25" s="100">
        <v>1</v>
      </c>
      <c r="I25" s="101">
        <v>1</v>
      </c>
      <c r="J25" s="33">
        <f t="shared" si="3"/>
        <v>4</v>
      </c>
    </row>
    <row r="26" spans="2:12" x14ac:dyDescent="0.35">
      <c r="B26" s="24">
        <v>3</v>
      </c>
      <c r="C26" s="99" t="s">
        <v>31</v>
      </c>
      <c r="D26" s="6" t="s">
        <v>13</v>
      </c>
      <c r="E26" s="24"/>
      <c r="F26" s="98">
        <v>1</v>
      </c>
      <c r="G26" s="98">
        <v>1</v>
      </c>
      <c r="H26" s="100">
        <v>1</v>
      </c>
      <c r="I26" s="101">
        <v>1</v>
      </c>
      <c r="J26" s="33">
        <f t="shared" si="3"/>
        <v>4</v>
      </c>
      <c r="L26" s="45"/>
    </row>
    <row r="27" spans="2:12" x14ac:dyDescent="0.35">
      <c r="B27" s="24">
        <v>4</v>
      </c>
      <c r="C27" s="25" t="s">
        <v>32</v>
      </c>
      <c r="D27" s="17" t="s">
        <v>13</v>
      </c>
      <c r="E27" s="16">
        <v>1</v>
      </c>
      <c r="F27" s="8">
        <v>6</v>
      </c>
      <c r="G27" s="8">
        <v>6</v>
      </c>
      <c r="H27" s="27">
        <v>5</v>
      </c>
      <c r="I27" s="28">
        <v>3</v>
      </c>
      <c r="J27" s="26">
        <f t="shared" si="3"/>
        <v>21</v>
      </c>
      <c r="L27" s="46"/>
    </row>
    <row r="28" spans="2:12" x14ac:dyDescent="0.35">
      <c r="B28" s="24">
        <v>5</v>
      </c>
      <c r="C28" s="25" t="s">
        <v>33</v>
      </c>
      <c r="D28" s="17" t="s">
        <v>13</v>
      </c>
      <c r="E28" s="16">
        <v>2</v>
      </c>
      <c r="F28" s="8">
        <v>3</v>
      </c>
      <c r="G28" s="8">
        <v>3</v>
      </c>
      <c r="H28" s="27">
        <v>2</v>
      </c>
      <c r="I28" s="28">
        <v>1</v>
      </c>
      <c r="J28" s="26">
        <f t="shared" si="3"/>
        <v>11</v>
      </c>
    </row>
    <row r="29" spans="2:12" x14ac:dyDescent="0.35">
      <c r="B29" s="24">
        <v>7</v>
      </c>
      <c r="C29" s="25" t="s">
        <v>34</v>
      </c>
      <c r="D29" s="17" t="s">
        <v>13</v>
      </c>
      <c r="E29" s="16">
        <v>2</v>
      </c>
      <c r="F29" s="8"/>
      <c r="G29" s="8"/>
      <c r="H29" s="8"/>
      <c r="I29" s="28"/>
      <c r="J29" s="26">
        <f t="shared" si="3"/>
        <v>2</v>
      </c>
    </row>
    <row r="30" spans="2:12" x14ac:dyDescent="0.35">
      <c r="B30" s="24">
        <v>8</v>
      </c>
      <c r="C30" s="25" t="s">
        <v>35</v>
      </c>
      <c r="D30" s="17" t="s">
        <v>13</v>
      </c>
      <c r="E30" s="16">
        <v>1</v>
      </c>
      <c r="F30" s="8"/>
      <c r="G30" s="8"/>
      <c r="H30" s="8"/>
      <c r="I30" s="28"/>
      <c r="J30" s="26">
        <f t="shared" si="3"/>
        <v>1</v>
      </c>
    </row>
    <row r="31" spans="2:12" x14ac:dyDescent="0.35">
      <c r="B31" s="24">
        <v>9</v>
      </c>
      <c r="C31" s="25" t="s">
        <v>36</v>
      </c>
      <c r="D31" s="17" t="s">
        <v>13</v>
      </c>
      <c r="E31" s="16">
        <v>1</v>
      </c>
      <c r="F31" s="8"/>
      <c r="G31" s="8"/>
      <c r="H31" s="8"/>
      <c r="I31" s="28"/>
      <c r="J31" s="26">
        <f t="shared" si="3"/>
        <v>1</v>
      </c>
    </row>
    <row r="32" spans="2:12" x14ac:dyDescent="0.35">
      <c r="B32" s="24">
        <v>10</v>
      </c>
      <c r="C32" s="25" t="s">
        <v>37</v>
      </c>
      <c r="D32" s="17" t="s">
        <v>13</v>
      </c>
      <c r="E32" s="16"/>
      <c r="F32" s="8">
        <v>1</v>
      </c>
      <c r="G32" s="8">
        <v>1</v>
      </c>
      <c r="H32" s="8">
        <v>1</v>
      </c>
      <c r="I32" s="28">
        <v>1</v>
      </c>
      <c r="J32" s="26">
        <f t="shared" si="3"/>
        <v>4</v>
      </c>
    </row>
    <row r="33" spans="2:10" x14ac:dyDescent="0.35">
      <c r="B33" s="24">
        <v>11</v>
      </c>
      <c r="C33" s="25" t="s">
        <v>38</v>
      </c>
      <c r="D33" s="17" t="s">
        <v>13</v>
      </c>
      <c r="E33" s="16"/>
      <c r="F33" s="8">
        <v>1</v>
      </c>
      <c r="G33" s="8">
        <v>1</v>
      </c>
      <c r="H33" s="8">
        <v>1</v>
      </c>
      <c r="I33" s="28"/>
      <c r="J33" s="26">
        <f t="shared" si="3"/>
        <v>3</v>
      </c>
    </row>
    <row r="34" spans="2:10" x14ac:dyDescent="0.35">
      <c r="B34" s="24">
        <v>12</v>
      </c>
      <c r="C34" s="25" t="s">
        <v>39</v>
      </c>
      <c r="D34" s="17" t="s">
        <v>13</v>
      </c>
      <c r="E34" s="16"/>
      <c r="F34" s="8">
        <v>1</v>
      </c>
      <c r="G34" s="8">
        <v>1</v>
      </c>
      <c r="H34" s="8">
        <v>1</v>
      </c>
      <c r="I34" s="28">
        <v>1</v>
      </c>
      <c r="J34" s="26">
        <f t="shared" si="3"/>
        <v>4</v>
      </c>
    </row>
    <row r="35" spans="2:10" x14ac:dyDescent="0.35">
      <c r="B35" s="13" t="s">
        <v>40</v>
      </c>
      <c r="C35" s="29" t="s">
        <v>41</v>
      </c>
      <c r="D35" s="30"/>
      <c r="E35" s="30"/>
      <c r="F35" s="30"/>
      <c r="G35" s="30"/>
      <c r="H35" s="30"/>
      <c r="I35" s="31"/>
      <c r="J35" s="32">
        <f>SUM(J24:J34)</f>
        <v>56</v>
      </c>
    </row>
    <row r="36" spans="2:10" x14ac:dyDescent="0.35">
      <c r="B36" s="2" t="s">
        <v>42</v>
      </c>
      <c r="C36" s="3" t="s">
        <v>43</v>
      </c>
      <c r="D36" s="3"/>
      <c r="E36" s="3"/>
      <c r="F36" s="3"/>
      <c r="G36" s="3"/>
      <c r="H36" s="3"/>
      <c r="I36" s="3"/>
      <c r="J36" s="3"/>
    </row>
    <row r="37" spans="2:10" ht="29" x14ac:dyDescent="0.35">
      <c r="B37" s="4" t="s">
        <v>3</v>
      </c>
      <c r="C37" s="4" t="s">
        <v>4</v>
      </c>
      <c r="D37" s="4" t="s">
        <v>5</v>
      </c>
      <c r="E37" s="4" t="s">
        <v>44</v>
      </c>
      <c r="F37" s="4" t="s">
        <v>7</v>
      </c>
      <c r="G37" s="4" t="s">
        <v>8</v>
      </c>
      <c r="H37" s="4" t="s">
        <v>9</v>
      </c>
      <c r="I37" s="4" t="s">
        <v>10</v>
      </c>
      <c r="J37" s="5" t="s">
        <v>11</v>
      </c>
    </row>
    <row r="38" spans="2:10" x14ac:dyDescent="0.35">
      <c r="B38" s="24">
        <v>1</v>
      </c>
      <c r="C38" s="25" t="s">
        <v>45</v>
      </c>
      <c r="D38" s="17" t="s">
        <v>13</v>
      </c>
      <c r="E38" s="16">
        <v>1</v>
      </c>
      <c r="F38" s="8"/>
      <c r="G38" s="8"/>
      <c r="H38" s="8"/>
      <c r="I38" s="28"/>
      <c r="J38" s="33">
        <f t="shared" ref="J38:J47" si="4">SUM(E38:I38)</f>
        <v>1</v>
      </c>
    </row>
    <row r="39" spans="2:10" x14ac:dyDescent="0.35">
      <c r="B39" s="24">
        <v>2</v>
      </c>
      <c r="C39" s="25" t="s">
        <v>46</v>
      </c>
      <c r="D39" s="17" t="s">
        <v>13</v>
      </c>
      <c r="E39" s="16">
        <v>1</v>
      </c>
      <c r="F39" s="8">
        <v>2</v>
      </c>
      <c r="G39" s="8">
        <v>2</v>
      </c>
      <c r="H39" s="27">
        <v>2</v>
      </c>
      <c r="I39" s="34">
        <v>1</v>
      </c>
      <c r="J39" s="33">
        <f t="shared" si="4"/>
        <v>8</v>
      </c>
    </row>
    <row r="40" spans="2:10" x14ac:dyDescent="0.35">
      <c r="B40" s="24">
        <v>3</v>
      </c>
      <c r="C40" s="25" t="s">
        <v>47</v>
      </c>
      <c r="D40" s="17" t="s">
        <v>13</v>
      </c>
      <c r="E40" s="16"/>
      <c r="F40" s="8">
        <v>3</v>
      </c>
      <c r="G40" s="8">
        <v>3</v>
      </c>
      <c r="H40" s="8">
        <v>3</v>
      </c>
      <c r="I40" s="34">
        <v>2</v>
      </c>
      <c r="J40" s="33">
        <f t="shared" si="4"/>
        <v>11</v>
      </c>
    </row>
    <row r="41" spans="2:10" x14ac:dyDescent="0.35">
      <c r="B41" s="24">
        <v>4</v>
      </c>
      <c r="C41" s="25" t="s">
        <v>48</v>
      </c>
      <c r="D41" s="17" t="s">
        <v>13</v>
      </c>
      <c r="E41" s="8"/>
      <c r="F41" s="8">
        <v>8</v>
      </c>
      <c r="G41" s="8">
        <v>8</v>
      </c>
      <c r="H41" s="27">
        <v>8</v>
      </c>
      <c r="I41" s="34">
        <v>4</v>
      </c>
      <c r="J41" s="33">
        <f t="shared" si="4"/>
        <v>28</v>
      </c>
    </row>
    <row r="42" spans="2:10" x14ac:dyDescent="0.35">
      <c r="B42" s="24">
        <v>5</v>
      </c>
      <c r="C42" s="25" t="s">
        <v>49</v>
      </c>
      <c r="D42" s="17" t="s">
        <v>13</v>
      </c>
      <c r="E42" s="16"/>
      <c r="F42" s="8">
        <v>1</v>
      </c>
      <c r="G42" s="8">
        <v>1</v>
      </c>
      <c r="H42" s="27">
        <v>1</v>
      </c>
      <c r="I42" s="34">
        <v>1</v>
      </c>
      <c r="J42" s="33">
        <f t="shared" si="4"/>
        <v>4</v>
      </c>
    </row>
    <row r="43" spans="2:10" x14ac:dyDescent="0.35">
      <c r="B43" s="24">
        <v>6</v>
      </c>
      <c r="C43" s="25" t="s">
        <v>50</v>
      </c>
      <c r="D43" s="17" t="s">
        <v>13</v>
      </c>
      <c r="E43" s="16"/>
      <c r="F43" s="8">
        <v>4</v>
      </c>
      <c r="G43" s="8">
        <v>4</v>
      </c>
      <c r="H43" s="27">
        <v>3</v>
      </c>
      <c r="I43" s="34">
        <v>3</v>
      </c>
      <c r="J43" s="33">
        <f t="shared" si="4"/>
        <v>14</v>
      </c>
    </row>
    <row r="44" spans="2:10" x14ac:dyDescent="0.35">
      <c r="B44" s="24">
        <v>7</v>
      </c>
      <c r="C44" s="25" t="s">
        <v>51</v>
      </c>
      <c r="D44" s="17" t="s">
        <v>13</v>
      </c>
      <c r="E44" s="16">
        <v>1</v>
      </c>
      <c r="F44" s="8"/>
      <c r="G44" s="8"/>
      <c r="H44" s="8"/>
      <c r="I44" s="28"/>
      <c r="J44" s="33">
        <f t="shared" si="4"/>
        <v>1</v>
      </c>
    </row>
    <row r="45" spans="2:10" x14ac:dyDescent="0.35">
      <c r="B45" s="24">
        <v>8</v>
      </c>
      <c r="C45" s="25" t="s">
        <v>52</v>
      </c>
      <c r="D45" s="17" t="s">
        <v>13</v>
      </c>
      <c r="E45" s="16">
        <v>1</v>
      </c>
      <c r="F45" s="8"/>
      <c r="G45" s="8"/>
      <c r="H45" s="8"/>
      <c r="I45" s="28"/>
      <c r="J45" s="33">
        <f t="shared" si="4"/>
        <v>1</v>
      </c>
    </row>
    <row r="46" spans="2:10" x14ac:dyDescent="0.35">
      <c r="B46" s="24">
        <v>9</v>
      </c>
      <c r="C46" s="25" t="s">
        <v>53</v>
      </c>
      <c r="D46" s="17" t="s">
        <v>13</v>
      </c>
      <c r="E46" s="16">
        <v>2</v>
      </c>
      <c r="F46" s="8"/>
      <c r="G46" s="8"/>
      <c r="H46" s="8"/>
      <c r="I46" s="28"/>
      <c r="J46" s="33">
        <f t="shared" si="4"/>
        <v>2</v>
      </c>
    </row>
    <row r="47" spans="2:10" x14ac:dyDescent="0.35">
      <c r="B47" s="24">
        <v>10</v>
      </c>
      <c r="C47" s="25" t="s">
        <v>54</v>
      </c>
      <c r="D47" s="17" t="s">
        <v>13</v>
      </c>
      <c r="E47" s="16"/>
      <c r="F47" s="8">
        <v>1</v>
      </c>
      <c r="G47" s="8"/>
      <c r="H47" s="8"/>
      <c r="I47" s="28"/>
      <c r="J47" s="33">
        <f t="shared" si="4"/>
        <v>1</v>
      </c>
    </row>
    <row r="48" spans="2:10" x14ac:dyDescent="0.35">
      <c r="B48" s="14" t="s">
        <v>55</v>
      </c>
      <c r="C48" s="14"/>
      <c r="D48" s="14"/>
      <c r="E48" s="14"/>
      <c r="F48" s="14"/>
      <c r="G48" s="14"/>
      <c r="H48" s="14"/>
      <c r="I48" s="14"/>
      <c r="J48" s="35">
        <f>SUM(J38:J47)</f>
        <v>71</v>
      </c>
    </row>
    <row r="49" spans="2:10" x14ac:dyDescent="0.35">
      <c r="B49" s="2" t="s">
        <v>56</v>
      </c>
      <c r="C49" s="3" t="s">
        <v>57</v>
      </c>
      <c r="D49" s="3"/>
      <c r="E49" s="3"/>
      <c r="F49" s="3"/>
      <c r="G49" s="3"/>
      <c r="H49" s="3"/>
      <c r="I49" s="3"/>
      <c r="J49" s="3"/>
    </row>
    <row r="50" spans="2:10" ht="29" x14ac:dyDescent="0.35"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  <c r="H50" s="4" t="s">
        <v>9</v>
      </c>
      <c r="I50" s="4" t="s">
        <v>10</v>
      </c>
      <c r="J50" s="5" t="s">
        <v>11</v>
      </c>
    </row>
    <row r="51" spans="2:10" x14ac:dyDescent="0.35">
      <c r="B51" s="16">
        <v>1</v>
      </c>
      <c r="C51" s="25" t="s">
        <v>58</v>
      </c>
      <c r="D51" s="17" t="s">
        <v>13</v>
      </c>
      <c r="E51" s="16">
        <v>2</v>
      </c>
      <c r="F51" s="8"/>
      <c r="G51" s="8"/>
      <c r="H51" s="8"/>
      <c r="I51" s="28"/>
      <c r="J51" s="36">
        <f t="shared" ref="J51:J53" si="5">SUM(E51:I51)</f>
        <v>2</v>
      </c>
    </row>
    <row r="52" spans="2:10" x14ac:dyDescent="0.35">
      <c r="B52" s="16">
        <v>2</v>
      </c>
      <c r="C52" s="25" t="s">
        <v>59</v>
      </c>
      <c r="D52" s="17" t="s">
        <v>13</v>
      </c>
      <c r="E52" s="16"/>
      <c r="F52" s="8">
        <v>1</v>
      </c>
      <c r="G52" s="8">
        <v>1</v>
      </c>
      <c r="H52" s="27">
        <v>1</v>
      </c>
      <c r="I52" s="28">
        <v>1</v>
      </c>
      <c r="J52" s="36">
        <f t="shared" si="5"/>
        <v>4</v>
      </c>
    </row>
    <row r="53" spans="2:10" x14ac:dyDescent="0.35">
      <c r="B53" s="16">
        <v>3</v>
      </c>
      <c r="C53" s="25" t="s">
        <v>60</v>
      </c>
      <c r="D53" s="17" t="s">
        <v>13</v>
      </c>
      <c r="E53" s="16"/>
      <c r="F53" s="8">
        <v>3</v>
      </c>
      <c r="G53" s="8">
        <v>3</v>
      </c>
      <c r="H53" s="8">
        <v>3</v>
      </c>
      <c r="I53" s="28">
        <v>2</v>
      </c>
      <c r="J53" s="36">
        <f t="shared" si="5"/>
        <v>11</v>
      </c>
    </row>
    <row r="54" spans="2:10" x14ac:dyDescent="0.35">
      <c r="B54" s="37" t="s">
        <v>61</v>
      </c>
      <c r="C54" s="37"/>
      <c r="D54" s="37"/>
      <c r="E54" s="37"/>
      <c r="F54" s="37"/>
      <c r="G54" s="37"/>
      <c r="H54" s="37"/>
      <c r="I54" s="37"/>
      <c r="J54" s="32">
        <f>SUM(J51:J53)</f>
        <v>17</v>
      </c>
    </row>
    <row r="55" spans="2:10" x14ac:dyDescent="0.35">
      <c r="B55" s="2" t="s">
        <v>62</v>
      </c>
      <c r="C55" s="3" t="s">
        <v>63</v>
      </c>
      <c r="D55" s="3"/>
      <c r="E55" s="3"/>
      <c r="F55" s="3"/>
      <c r="G55" s="3"/>
      <c r="H55" s="3"/>
      <c r="I55" s="3"/>
      <c r="J55" s="3"/>
    </row>
    <row r="56" spans="2:10" ht="29" x14ac:dyDescent="0.35">
      <c r="B56" s="4" t="s">
        <v>3</v>
      </c>
      <c r="C56" s="4" t="s">
        <v>4</v>
      </c>
      <c r="D56" s="4" t="s">
        <v>5</v>
      </c>
      <c r="E56" s="4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5" t="s">
        <v>11</v>
      </c>
    </row>
    <row r="57" spans="2:10" x14ac:dyDescent="0.35">
      <c r="B57" s="16">
        <v>1</v>
      </c>
      <c r="C57" s="25" t="s">
        <v>64</v>
      </c>
      <c r="D57" s="17" t="s">
        <v>13</v>
      </c>
      <c r="E57" s="16"/>
      <c r="F57" s="16">
        <v>1</v>
      </c>
      <c r="G57" s="16">
        <v>1</v>
      </c>
      <c r="H57" s="16">
        <v>1</v>
      </c>
      <c r="I57" s="38">
        <v>1</v>
      </c>
      <c r="J57" s="39">
        <f t="shared" ref="J57:J70" si="6">SUM(E57:I57)</f>
        <v>4</v>
      </c>
    </row>
    <row r="58" spans="2:10" x14ac:dyDescent="0.35">
      <c r="B58" s="16">
        <v>2</v>
      </c>
      <c r="C58" s="25" t="s">
        <v>65</v>
      </c>
      <c r="D58" s="17" t="s">
        <v>13</v>
      </c>
      <c r="E58" s="16"/>
      <c r="F58" s="16">
        <v>2</v>
      </c>
      <c r="G58" s="16">
        <v>2</v>
      </c>
      <c r="H58" s="16">
        <v>2</v>
      </c>
      <c r="I58" s="38">
        <v>1</v>
      </c>
      <c r="J58" s="39">
        <f t="shared" si="6"/>
        <v>7</v>
      </c>
    </row>
    <row r="59" spans="2:10" x14ac:dyDescent="0.35">
      <c r="B59" s="16">
        <v>3</v>
      </c>
      <c r="C59" s="25" t="s">
        <v>66</v>
      </c>
      <c r="D59" s="17" t="s">
        <v>13</v>
      </c>
      <c r="E59" s="16"/>
      <c r="F59" s="16">
        <v>2</v>
      </c>
      <c r="G59" s="16">
        <v>2</v>
      </c>
      <c r="H59" s="16"/>
      <c r="I59" s="38">
        <v>1</v>
      </c>
      <c r="J59" s="39">
        <f t="shared" si="6"/>
        <v>5</v>
      </c>
    </row>
    <row r="60" spans="2:10" x14ac:dyDescent="0.35">
      <c r="B60" s="16">
        <v>4</v>
      </c>
      <c r="C60" s="25" t="s">
        <v>67</v>
      </c>
      <c r="D60" s="17" t="s">
        <v>13</v>
      </c>
      <c r="E60" s="16"/>
      <c r="F60" s="16">
        <v>2</v>
      </c>
      <c r="G60" s="16">
        <v>2</v>
      </c>
      <c r="H60" s="16"/>
      <c r="I60" s="38">
        <v>1</v>
      </c>
      <c r="J60" s="39">
        <f t="shared" si="6"/>
        <v>5</v>
      </c>
    </row>
    <row r="61" spans="2:10" x14ac:dyDescent="0.35">
      <c r="B61" s="16">
        <v>5</v>
      </c>
      <c r="C61" s="25" t="s">
        <v>68</v>
      </c>
      <c r="D61" s="17" t="s">
        <v>13</v>
      </c>
      <c r="E61" s="16"/>
      <c r="F61" s="16">
        <v>5</v>
      </c>
      <c r="G61" s="16">
        <v>4</v>
      </c>
      <c r="H61" s="16">
        <v>2</v>
      </c>
      <c r="I61" s="38">
        <v>2</v>
      </c>
      <c r="J61" s="39">
        <f t="shared" si="6"/>
        <v>13</v>
      </c>
    </row>
    <row r="62" spans="2:10" x14ac:dyDescent="0.35">
      <c r="B62" s="16">
        <v>6</v>
      </c>
      <c r="C62" s="25" t="s">
        <v>69</v>
      </c>
      <c r="D62" s="17" t="s">
        <v>13</v>
      </c>
      <c r="E62" s="16">
        <v>1</v>
      </c>
      <c r="F62" s="8"/>
      <c r="G62" s="8"/>
      <c r="H62" s="27"/>
      <c r="I62" s="38"/>
      <c r="J62" s="39">
        <f t="shared" si="6"/>
        <v>1</v>
      </c>
    </row>
    <row r="63" spans="2:10" x14ac:dyDescent="0.35">
      <c r="B63" s="16">
        <v>7</v>
      </c>
      <c r="C63" s="25" t="s">
        <v>70</v>
      </c>
      <c r="D63" s="17" t="s">
        <v>13</v>
      </c>
      <c r="E63" s="16">
        <v>1</v>
      </c>
      <c r="F63" s="8"/>
      <c r="G63" s="8"/>
      <c r="H63" s="27"/>
      <c r="I63" s="38"/>
      <c r="J63" s="39">
        <f t="shared" si="6"/>
        <v>1</v>
      </c>
    </row>
    <row r="64" spans="2:10" x14ac:dyDescent="0.35">
      <c r="B64" s="16">
        <v>8</v>
      </c>
      <c r="C64" s="25" t="s">
        <v>71</v>
      </c>
      <c r="D64" s="17" t="s">
        <v>13</v>
      </c>
      <c r="E64" s="16"/>
      <c r="F64" s="8">
        <v>2</v>
      </c>
      <c r="G64" s="8">
        <v>2</v>
      </c>
      <c r="H64" s="8">
        <v>1</v>
      </c>
      <c r="I64" s="38">
        <v>1</v>
      </c>
      <c r="J64" s="39">
        <f t="shared" si="6"/>
        <v>6</v>
      </c>
    </row>
    <row r="65" spans="2:10" x14ac:dyDescent="0.35">
      <c r="B65" s="16">
        <v>10</v>
      </c>
      <c r="C65" s="25" t="s">
        <v>72</v>
      </c>
      <c r="D65" s="17" t="s">
        <v>13</v>
      </c>
      <c r="E65" s="16"/>
      <c r="F65" s="8"/>
      <c r="G65" s="8"/>
      <c r="H65" s="8"/>
      <c r="I65" s="38"/>
      <c r="J65" s="39">
        <f t="shared" si="6"/>
        <v>0</v>
      </c>
    </row>
    <row r="66" spans="2:10" x14ac:dyDescent="0.35">
      <c r="B66" s="16">
        <v>11</v>
      </c>
      <c r="C66" s="25" t="s">
        <v>73</v>
      </c>
      <c r="D66" s="17" t="s">
        <v>13</v>
      </c>
      <c r="E66" s="16">
        <v>13</v>
      </c>
      <c r="F66" s="8"/>
      <c r="G66" s="8"/>
      <c r="H66" s="8"/>
      <c r="I66" s="38">
        <v>2</v>
      </c>
      <c r="J66" s="39">
        <f t="shared" si="6"/>
        <v>15</v>
      </c>
    </row>
    <row r="67" spans="2:10" x14ac:dyDescent="0.35">
      <c r="B67" s="16">
        <v>13</v>
      </c>
      <c r="C67" s="25" t="s">
        <v>74</v>
      </c>
      <c r="D67" s="17" t="s">
        <v>13</v>
      </c>
      <c r="E67" s="16"/>
      <c r="F67" s="8">
        <v>4</v>
      </c>
      <c r="G67" s="8">
        <v>4</v>
      </c>
      <c r="H67" s="8">
        <v>4</v>
      </c>
      <c r="I67" s="38">
        <v>2</v>
      </c>
      <c r="J67" s="39">
        <f t="shared" si="6"/>
        <v>14</v>
      </c>
    </row>
    <row r="68" spans="2:10" x14ac:dyDescent="0.35">
      <c r="B68" s="16">
        <v>14</v>
      </c>
      <c r="C68" s="25" t="s">
        <v>75</v>
      </c>
      <c r="D68" s="17" t="s">
        <v>13</v>
      </c>
      <c r="E68" s="16"/>
      <c r="F68" s="8">
        <v>3</v>
      </c>
      <c r="G68" s="8">
        <v>3</v>
      </c>
      <c r="H68" s="8">
        <v>2</v>
      </c>
      <c r="I68" s="38">
        <v>1</v>
      </c>
      <c r="J68" s="39">
        <f t="shared" si="6"/>
        <v>9</v>
      </c>
    </row>
    <row r="69" spans="2:10" x14ac:dyDescent="0.35">
      <c r="B69" s="16">
        <v>15</v>
      </c>
      <c r="C69" s="25" t="s">
        <v>76</v>
      </c>
      <c r="D69" s="17" t="s">
        <v>13</v>
      </c>
      <c r="E69" s="16"/>
      <c r="F69" s="8">
        <v>2</v>
      </c>
      <c r="G69" s="8">
        <v>2</v>
      </c>
      <c r="H69" s="8">
        <v>1</v>
      </c>
      <c r="I69" s="38">
        <v>1</v>
      </c>
      <c r="J69" s="39">
        <f t="shared" si="6"/>
        <v>6</v>
      </c>
    </row>
    <row r="70" spans="2:10" x14ac:dyDescent="0.35">
      <c r="B70" s="16">
        <v>16</v>
      </c>
      <c r="C70" s="25" t="s">
        <v>77</v>
      </c>
      <c r="D70" s="17" t="s">
        <v>13</v>
      </c>
      <c r="E70" s="16"/>
      <c r="F70" s="8">
        <v>2</v>
      </c>
      <c r="G70" s="8">
        <v>2</v>
      </c>
      <c r="H70" s="8">
        <v>2</v>
      </c>
      <c r="I70" s="38">
        <v>1</v>
      </c>
      <c r="J70" s="39">
        <f t="shared" si="6"/>
        <v>7</v>
      </c>
    </row>
    <row r="71" spans="2:10" x14ac:dyDescent="0.35">
      <c r="B71" s="37" t="s">
        <v>78</v>
      </c>
      <c r="C71" s="37"/>
      <c r="D71" s="37"/>
      <c r="E71" s="37"/>
      <c r="F71" s="37"/>
      <c r="G71" s="37"/>
      <c r="H71" s="37"/>
      <c r="I71" s="37"/>
      <c r="J71" s="23">
        <f>SUM(J57:J70)</f>
        <v>93</v>
      </c>
    </row>
    <row r="72" spans="2:10" x14ac:dyDescent="0.35">
      <c r="B72" s="2" t="s">
        <v>79</v>
      </c>
      <c r="C72" s="3" t="s">
        <v>80</v>
      </c>
      <c r="D72" s="3"/>
      <c r="E72" s="3"/>
      <c r="F72" s="3"/>
      <c r="G72" s="3"/>
      <c r="H72" s="3"/>
      <c r="I72" s="3"/>
      <c r="J72" s="3"/>
    </row>
    <row r="73" spans="2:10" ht="29" x14ac:dyDescent="0.35">
      <c r="B73" s="4" t="s">
        <v>3</v>
      </c>
      <c r="C73" s="4" t="s">
        <v>4</v>
      </c>
      <c r="D73" s="4" t="s">
        <v>5</v>
      </c>
      <c r="E73" s="4" t="s">
        <v>6</v>
      </c>
      <c r="F73" s="4" t="s">
        <v>7</v>
      </c>
      <c r="G73" s="4" t="s">
        <v>8</v>
      </c>
      <c r="H73" s="4" t="s">
        <v>9</v>
      </c>
      <c r="I73" s="4" t="s">
        <v>10</v>
      </c>
      <c r="J73" s="5" t="s">
        <v>11</v>
      </c>
    </row>
    <row r="74" spans="2:10" x14ac:dyDescent="0.35">
      <c r="B74" s="16">
        <v>1</v>
      </c>
      <c r="C74" s="40" t="s">
        <v>81</v>
      </c>
      <c r="D74" s="17" t="s">
        <v>13</v>
      </c>
      <c r="E74" s="16">
        <v>1</v>
      </c>
      <c r="F74" s="41"/>
      <c r="G74" s="41"/>
      <c r="H74" s="41"/>
      <c r="I74" s="38">
        <v>0</v>
      </c>
      <c r="J74" s="42">
        <f t="shared" ref="J74:J79" si="7">SUM(E74:I74)</f>
        <v>1</v>
      </c>
    </row>
    <row r="75" spans="2:10" x14ac:dyDescent="0.35">
      <c r="B75" s="16">
        <v>2</v>
      </c>
      <c r="C75" s="40" t="s">
        <v>82</v>
      </c>
      <c r="D75" s="17" t="s">
        <v>13</v>
      </c>
      <c r="E75" s="16">
        <v>2</v>
      </c>
      <c r="F75" s="41"/>
      <c r="G75" s="41"/>
      <c r="H75" s="41"/>
      <c r="I75" s="38">
        <v>0</v>
      </c>
      <c r="J75" s="42">
        <f t="shared" si="7"/>
        <v>2</v>
      </c>
    </row>
    <row r="76" spans="2:10" x14ac:dyDescent="0.35">
      <c r="B76" s="16">
        <v>3</v>
      </c>
      <c r="C76" s="40" t="s">
        <v>83</v>
      </c>
      <c r="D76" s="17" t="s">
        <v>13</v>
      </c>
      <c r="E76" s="16">
        <v>2</v>
      </c>
      <c r="F76" s="41"/>
      <c r="G76" s="41"/>
      <c r="H76" s="41"/>
      <c r="I76" s="38">
        <v>0</v>
      </c>
      <c r="J76" s="42">
        <f t="shared" si="7"/>
        <v>2</v>
      </c>
    </row>
    <row r="77" spans="2:10" x14ac:dyDescent="0.35">
      <c r="B77" s="16">
        <v>4</v>
      </c>
      <c r="C77" s="40" t="s">
        <v>84</v>
      </c>
      <c r="D77" s="17" t="s">
        <v>13</v>
      </c>
      <c r="E77" s="16">
        <v>1</v>
      </c>
      <c r="F77" s="41"/>
      <c r="G77" s="41"/>
      <c r="H77" s="41"/>
      <c r="I77" s="38">
        <v>0</v>
      </c>
      <c r="J77" s="42">
        <f t="shared" si="7"/>
        <v>1</v>
      </c>
    </row>
    <row r="78" spans="2:10" x14ac:dyDescent="0.35">
      <c r="B78" s="16">
        <v>5</v>
      </c>
      <c r="C78" s="40" t="s">
        <v>100</v>
      </c>
      <c r="D78" s="17" t="s">
        <v>13</v>
      </c>
      <c r="E78" s="16">
        <v>3</v>
      </c>
      <c r="F78" s="41"/>
      <c r="G78" s="41"/>
      <c r="H78" s="41"/>
      <c r="I78" s="38"/>
      <c r="J78" s="42"/>
    </row>
    <row r="79" spans="2:10" x14ac:dyDescent="0.35">
      <c r="B79" s="16">
        <v>6</v>
      </c>
      <c r="C79" s="40" t="s">
        <v>85</v>
      </c>
      <c r="D79" s="17" t="s">
        <v>13</v>
      </c>
      <c r="E79" s="16"/>
      <c r="F79" s="8">
        <v>3</v>
      </c>
      <c r="G79" s="8">
        <v>3</v>
      </c>
      <c r="H79" s="8">
        <v>3</v>
      </c>
      <c r="I79" s="38">
        <v>2</v>
      </c>
      <c r="J79" s="42">
        <f t="shared" si="7"/>
        <v>11</v>
      </c>
    </row>
    <row r="80" spans="2:10" x14ac:dyDescent="0.35">
      <c r="B80" s="37" t="s">
        <v>86</v>
      </c>
      <c r="C80" s="37"/>
      <c r="D80" s="37"/>
      <c r="E80" s="37"/>
      <c r="F80" s="37"/>
      <c r="G80" s="37"/>
      <c r="H80" s="37"/>
      <c r="I80" s="37"/>
      <c r="J80" s="23">
        <f>SUM(J74:J79)</f>
        <v>17</v>
      </c>
    </row>
    <row r="81" spans="2:10" x14ac:dyDescent="0.35">
      <c r="B81" s="2" t="s">
        <v>87</v>
      </c>
      <c r="C81" s="3" t="s">
        <v>88</v>
      </c>
      <c r="D81" s="3"/>
      <c r="E81" s="3"/>
      <c r="F81" s="3"/>
      <c r="G81" s="3"/>
      <c r="H81" s="3"/>
      <c r="I81" s="3"/>
      <c r="J81" s="3"/>
    </row>
    <row r="82" spans="2:10" ht="29" x14ac:dyDescent="0.35">
      <c r="B82" s="4" t="s">
        <v>3</v>
      </c>
      <c r="C82" s="4" t="s">
        <v>4</v>
      </c>
      <c r="D82" s="4" t="s">
        <v>5</v>
      </c>
      <c r="E82" s="4" t="s">
        <v>6</v>
      </c>
      <c r="F82" s="4" t="s">
        <v>7</v>
      </c>
      <c r="G82" s="4" t="s">
        <v>8</v>
      </c>
      <c r="H82" s="4" t="s">
        <v>9</v>
      </c>
      <c r="I82" s="4" t="s">
        <v>10</v>
      </c>
      <c r="J82" s="5" t="s">
        <v>11</v>
      </c>
    </row>
    <row r="83" spans="2:10" x14ac:dyDescent="0.35">
      <c r="B83" s="16">
        <v>1</v>
      </c>
      <c r="C83" s="40" t="s">
        <v>89</v>
      </c>
      <c r="D83" s="17" t="s">
        <v>13</v>
      </c>
      <c r="E83" s="16"/>
      <c r="F83" s="16"/>
      <c r="G83" s="16"/>
      <c r="H83" s="16"/>
      <c r="I83" s="38">
        <v>0</v>
      </c>
      <c r="J83" s="42">
        <f t="shared" ref="J83:J91" si="8">SUM(E83:I83)</f>
        <v>0</v>
      </c>
    </row>
    <row r="84" spans="2:10" x14ac:dyDescent="0.35">
      <c r="B84" s="16">
        <v>2</v>
      </c>
      <c r="C84" s="40" t="s">
        <v>90</v>
      </c>
      <c r="D84" s="17" t="s">
        <v>13</v>
      </c>
      <c r="E84" s="16">
        <v>1</v>
      </c>
      <c r="F84" s="16"/>
      <c r="G84" s="16"/>
      <c r="H84" s="16"/>
      <c r="I84" s="38">
        <v>0</v>
      </c>
      <c r="J84" s="42">
        <f t="shared" si="8"/>
        <v>1</v>
      </c>
    </row>
    <row r="85" spans="2:10" x14ac:dyDescent="0.35">
      <c r="B85" s="16">
        <v>3</v>
      </c>
      <c r="C85" s="40" t="s">
        <v>91</v>
      </c>
      <c r="D85" s="17" t="s">
        <v>13</v>
      </c>
      <c r="E85" s="16">
        <v>2</v>
      </c>
      <c r="F85" s="16"/>
      <c r="G85" s="16">
        <v>1</v>
      </c>
      <c r="H85" s="16"/>
      <c r="I85" s="38">
        <v>1</v>
      </c>
      <c r="J85" s="42">
        <f t="shared" si="8"/>
        <v>4</v>
      </c>
    </row>
    <row r="86" spans="2:10" x14ac:dyDescent="0.35">
      <c r="B86" s="16">
        <v>4</v>
      </c>
      <c r="C86" s="40" t="s">
        <v>92</v>
      </c>
      <c r="D86" s="17" t="s">
        <v>13</v>
      </c>
      <c r="E86" s="16"/>
      <c r="F86" s="16"/>
      <c r="G86" s="16"/>
      <c r="H86" s="16"/>
      <c r="I86" s="38">
        <v>0</v>
      </c>
      <c r="J86" s="42">
        <f t="shared" si="8"/>
        <v>0</v>
      </c>
    </row>
    <row r="87" spans="2:10" x14ac:dyDescent="0.35">
      <c r="B87" s="16">
        <v>5</v>
      </c>
      <c r="C87" s="40" t="s">
        <v>93</v>
      </c>
      <c r="D87" s="17" t="s">
        <v>13</v>
      </c>
      <c r="E87" s="16"/>
      <c r="F87" s="16"/>
      <c r="G87" s="16"/>
      <c r="H87" s="16"/>
      <c r="I87" s="38">
        <v>0</v>
      </c>
      <c r="J87" s="42">
        <f t="shared" si="8"/>
        <v>0</v>
      </c>
    </row>
    <row r="88" spans="2:10" x14ac:dyDescent="0.35">
      <c r="B88" s="16">
        <v>6</v>
      </c>
      <c r="C88" s="40" t="s">
        <v>94</v>
      </c>
      <c r="D88" s="17" t="s">
        <v>13</v>
      </c>
      <c r="E88" s="16">
        <v>1</v>
      </c>
      <c r="F88" s="16"/>
      <c r="G88" s="16"/>
      <c r="H88" s="16"/>
      <c r="I88" s="38">
        <v>0</v>
      </c>
      <c r="J88" s="42">
        <f t="shared" si="8"/>
        <v>1</v>
      </c>
    </row>
    <row r="89" spans="2:10" x14ac:dyDescent="0.35">
      <c r="B89" s="16">
        <v>7</v>
      </c>
      <c r="C89" s="40" t="s">
        <v>95</v>
      </c>
      <c r="D89" s="17" t="s">
        <v>13</v>
      </c>
      <c r="E89" s="16"/>
      <c r="F89" s="16"/>
      <c r="G89" s="16"/>
      <c r="H89" s="16"/>
      <c r="I89" s="38">
        <v>0</v>
      </c>
      <c r="J89" s="42">
        <f t="shared" si="8"/>
        <v>0</v>
      </c>
    </row>
    <row r="90" spans="2:10" x14ac:dyDescent="0.35">
      <c r="B90" s="16">
        <v>8</v>
      </c>
      <c r="C90" s="40" t="s">
        <v>96</v>
      </c>
      <c r="D90" s="17" t="s">
        <v>13</v>
      </c>
      <c r="E90" s="16">
        <v>1</v>
      </c>
      <c r="F90" s="16"/>
      <c r="G90" s="16"/>
      <c r="H90" s="16"/>
      <c r="I90" s="38">
        <v>1</v>
      </c>
      <c r="J90" s="42">
        <f t="shared" si="8"/>
        <v>2</v>
      </c>
    </row>
    <row r="91" spans="2:10" x14ac:dyDescent="0.35">
      <c r="B91" s="16">
        <v>9</v>
      </c>
      <c r="C91" s="40" t="s">
        <v>97</v>
      </c>
      <c r="D91" s="17" t="s">
        <v>13</v>
      </c>
      <c r="E91" s="16">
        <v>2</v>
      </c>
      <c r="F91" s="16"/>
      <c r="G91" s="16"/>
      <c r="H91" s="16"/>
      <c r="I91" s="38">
        <v>1</v>
      </c>
      <c r="J91" s="42">
        <f t="shared" si="8"/>
        <v>3</v>
      </c>
    </row>
    <row r="92" spans="2:10" x14ac:dyDescent="0.35">
      <c r="B92" s="37" t="s">
        <v>98</v>
      </c>
      <c r="C92" s="37"/>
      <c r="D92" s="37"/>
      <c r="E92" s="37"/>
      <c r="F92" s="37"/>
      <c r="G92" s="37"/>
      <c r="H92" s="37"/>
      <c r="I92" s="37"/>
      <c r="J92" s="23">
        <f>SUM(J83:J91)</f>
        <v>11</v>
      </c>
    </row>
    <row r="94" spans="2:10" x14ac:dyDescent="0.35">
      <c r="B94" s="129" t="s">
        <v>99</v>
      </c>
      <c r="C94" s="109"/>
      <c r="D94" s="109"/>
      <c r="E94" s="109"/>
      <c r="F94" s="109"/>
      <c r="G94" s="109"/>
      <c r="H94" s="109"/>
      <c r="I94" s="130"/>
      <c r="J94" s="23">
        <f>J16+J21+J35+J48+J54+J71+J80+J92</f>
        <v>281</v>
      </c>
    </row>
    <row r="96" spans="2:10" x14ac:dyDescent="0.35">
      <c r="J96" s="45"/>
    </row>
  </sheetData>
  <mergeCells count="2">
    <mergeCell ref="B5:J5"/>
    <mergeCell ref="B94:I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6742-FF33-4CDD-898F-C1CF25F687DC}">
  <dimension ref="B2:D11"/>
  <sheetViews>
    <sheetView zoomScale="112" workbookViewId="0">
      <selection activeCell="I7" sqref="I7"/>
    </sheetView>
  </sheetViews>
  <sheetFormatPr defaultRowHeight="14.5" x14ac:dyDescent="0.35"/>
  <cols>
    <col min="2" max="2" width="8.7265625" style="57"/>
    <col min="3" max="3" width="15" customWidth="1"/>
    <col min="4" max="4" width="15.7265625" bestFit="1" customWidth="1"/>
  </cols>
  <sheetData>
    <row r="2" spans="2:4" ht="14.5" customHeight="1" x14ac:dyDescent="0.35">
      <c r="B2" s="131" t="s">
        <v>179</v>
      </c>
      <c r="C2" s="131"/>
      <c r="D2" s="131"/>
    </row>
    <row r="3" spans="2:4" s="57" customFormat="1" x14ac:dyDescent="0.35">
      <c r="B3" s="19" t="s">
        <v>173</v>
      </c>
      <c r="C3" s="19" t="s">
        <v>4</v>
      </c>
      <c r="D3" s="17" t="s">
        <v>191</v>
      </c>
    </row>
    <row r="4" spans="2:4" x14ac:dyDescent="0.35">
      <c r="B4" s="17">
        <v>1</v>
      </c>
      <c r="C4" s="50" t="s">
        <v>167</v>
      </c>
      <c r="D4" s="50">
        <v>8</v>
      </c>
    </row>
    <row r="5" spans="2:4" x14ac:dyDescent="0.35">
      <c r="B5" s="17">
        <v>2</v>
      </c>
      <c r="C5" s="50" t="s">
        <v>174</v>
      </c>
      <c r="D5" s="50">
        <v>9</v>
      </c>
    </row>
    <row r="6" spans="2:4" x14ac:dyDescent="0.35">
      <c r="B6" s="17">
        <v>3</v>
      </c>
      <c r="C6" s="50" t="s">
        <v>175</v>
      </c>
      <c r="D6" s="50">
        <v>10</v>
      </c>
    </row>
    <row r="7" spans="2:4" x14ac:dyDescent="0.35">
      <c r="B7" s="17">
        <v>4</v>
      </c>
      <c r="C7" s="50" t="s">
        <v>176</v>
      </c>
      <c r="D7" s="50">
        <v>46</v>
      </c>
    </row>
    <row r="8" spans="2:4" x14ac:dyDescent="0.35">
      <c r="B8" s="17">
        <v>5</v>
      </c>
      <c r="C8" s="50" t="s">
        <v>177</v>
      </c>
      <c r="D8" s="50">
        <v>89</v>
      </c>
    </row>
    <row r="9" spans="2:4" x14ac:dyDescent="0.35">
      <c r="B9" s="17">
        <v>6</v>
      </c>
      <c r="C9" s="50" t="s">
        <v>178</v>
      </c>
      <c r="D9" s="50">
        <v>0</v>
      </c>
    </row>
    <row r="10" spans="2:4" x14ac:dyDescent="0.35">
      <c r="B10" s="17">
        <v>7</v>
      </c>
      <c r="C10" s="50" t="s">
        <v>185</v>
      </c>
      <c r="D10" s="50">
        <v>10</v>
      </c>
    </row>
    <row r="11" spans="2:4" x14ac:dyDescent="0.35">
      <c r="B11" s="17"/>
      <c r="C11" s="37" t="s">
        <v>162</v>
      </c>
      <c r="D11" s="50">
        <f>SUM(D4:D10)</f>
        <v>172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34D0-6015-4635-88F9-435011ACB344}">
  <dimension ref="B1:E164"/>
  <sheetViews>
    <sheetView tabSelected="1" topLeftCell="A151" workbookViewId="0">
      <selection activeCell="L163" sqref="L163"/>
    </sheetView>
  </sheetViews>
  <sheetFormatPr defaultRowHeight="14.5" x14ac:dyDescent="0.35"/>
  <cols>
    <col min="2" max="2" width="13.90625" bestFit="1" customWidth="1"/>
    <col min="3" max="3" width="36.54296875" bestFit="1" customWidth="1"/>
    <col min="4" max="4" width="27.54296875" style="57" bestFit="1" customWidth="1"/>
    <col min="5" max="5" width="0" hidden="1" customWidth="1"/>
  </cols>
  <sheetData>
    <row r="1" spans="2:4" ht="15" thickBot="1" x14ac:dyDescent="0.4"/>
    <row r="2" spans="2:4" x14ac:dyDescent="0.35">
      <c r="B2" s="102" t="s">
        <v>192</v>
      </c>
      <c r="C2" s="103"/>
      <c r="D2" s="104"/>
    </row>
    <row r="3" spans="2:4" x14ac:dyDescent="0.35">
      <c r="B3" s="108" t="s">
        <v>2</v>
      </c>
      <c r="C3" s="109"/>
      <c r="D3" s="110"/>
    </row>
    <row r="4" spans="2:4" x14ac:dyDescent="0.35">
      <c r="B4" s="68" t="s">
        <v>3</v>
      </c>
      <c r="C4" s="4" t="s">
        <v>4</v>
      </c>
      <c r="D4" s="69" t="s">
        <v>190</v>
      </c>
    </row>
    <row r="5" spans="2:4" s="1" customFormat="1" x14ac:dyDescent="0.35">
      <c r="B5" s="70">
        <v>1</v>
      </c>
      <c r="C5" s="11" t="s">
        <v>12</v>
      </c>
      <c r="D5" s="82">
        <v>1</v>
      </c>
    </row>
    <row r="6" spans="2:4" s="1" customFormat="1" x14ac:dyDescent="0.35">
      <c r="B6" s="70">
        <f t="shared" ref="B6:B12" si="0">B5+1</f>
        <v>2</v>
      </c>
      <c r="C6" s="11" t="s">
        <v>14</v>
      </c>
      <c r="D6" s="82">
        <v>1</v>
      </c>
    </row>
    <row r="7" spans="2:4" s="1" customFormat="1" x14ac:dyDescent="0.35">
      <c r="B7" s="70">
        <f t="shared" si="0"/>
        <v>3</v>
      </c>
      <c r="C7" s="11" t="s">
        <v>15</v>
      </c>
      <c r="D7" s="82">
        <v>1</v>
      </c>
    </row>
    <row r="8" spans="2:4" s="1" customFormat="1" x14ac:dyDescent="0.35">
      <c r="B8" s="70">
        <f t="shared" si="0"/>
        <v>4</v>
      </c>
      <c r="C8" s="11" t="s">
        <v>16</v>
      </c>
      <c r="D8" s="82">
        <v>1</v>
      </c>
    </row>
    <row r="9" spans="2:4" s="1" customFormat="1" x14ac:dyDescent="0.35">
      <c r="B9" s="70">
        <f t="shared" si="0"/>
        <v>5</v>
      </c>
      <c r="C9" s="12" t="s">
        <v>17</v>
      </c>
      <c r="D9" s="82">
        <v>1</v>
      </c>
    </row>
    <row r="10" spans="2:4" s="1" customFormat="1" x14ac:dyDescent="0.35">
      <c r="B10" s="70">
        <f t="shared" si="0"/>
        <v>6</v>
      </c>
      <c r="C10" s="12" t="s">
        <v>18</v>
      </c>
      <c r="D10" s="82">
        <v>1</v>
      </c>
    </row>
    <row r="11" spans="2:4" s="1" customFormat="1" x14ac:dyDescent="0.35">
      <c r="B11" s="70">
        <f t="shared" si="0"/>
        <v>7</v>
      </c>
      <c r="C11" s="12" t="s">
        <v>19</v>
      </c>
      <c r="D11" s="82">
        <v>1</v>
      </c>
    </row>
    <row r="12" spans="2:4" s="1" customFormat="1" x14ac:dyDescent="0.35">
      <c r="B12" s="70">
        <f t="shared" si="0"/>
        <v>8</v>
      </c>
      <c r="C12" s="12" t="s">
        <v>20</v>
      </c>
      <c r="D12" s="82">
        <v>1</v>
      </c>
    </row>
    <row r="13" spans="2:4" x14ac:dyDescent="0.35">
      <c r="B13" s="72" t="s">
        <v>1</v>
      </c>
      <c r="C13" s="14" t="s">
        <v>21</v>
      </c>
      <c r="D13" s="71">
        <f>SUM(D5:D12)</f>
        <v>8</v>
      </c>
    </row>
    <row r="14" spans="2:4" x14ac:dyDescent="0.35">
      <c r="B14" s="73"/>
      <c r="D14" s="74"/>
    </row>
    <row r="15" spans="2:4" ht="21" x14ac:dyDescent="0.35">
      <c r="B15" s="113" t="s">
        <v>164</v>
      </c>
      <c r="C15" s="114"/>
      <c r="D15" s="115"/>
    </row>
    <row r="16" spans="2:4" x14ac:dyDescent="0.35">
      <c r="B16" s="111" t="s">
        <v>105</v>
      </c>
      <c r="C16" s="112"/>
      <c r="D16" s="71"/>
    </row>
    <row r="17" spans="2:5" x14ac:dyDescent="0.35">
      <c r="B17" s="76" t="s">
        <v>102</v>
      </c>
      <c r="C17" s="49" t="s">
        <v>103</v>
      </c>
      <c r="D17" s="69" t="s">
        <v>190</v>
      </c>
    </row>
    <row r="18" spans="2:5" s="1" customFormat="1" x14ac:dyDescent="0.35">
      <c r="B18" s="88"/>
      <c r="C18" s="65" t="s">
        <v>165</v>
      </c>
      <c r="D18" s="82">
        <v>1</v>
      </c>
    </row>
    <row r="19" spans="2:5" s="1" customFormat="1" x14ac:dyDescent="0.35">
      <c r="B19" s="88" cm="1">
        <f t="array" aca="1" ref="B19" ca="1">B19:C26</f>
        <v>0</v>
      </c>
      <c r="C19" s="99" t="s">
        <v>65</v>
      </c>
      <c r="D19" s="82">
        <v>1</v>
      </c>
    </row>
    <row r="20" spans="2:5" s="1" customFormat="1" x14ac:dyDescent="0.35">
      <c r="B20" s="88"/>
      <c r="C20" s="99" t="s">
        <v>66</v>
      </c>
      <c r="D20" s="82"/>
    </row>
    <row r="21" spans="2:5" s="1" customFormat="1" x14ac:dyDescent="0.35">
      <c r="B21" s="88"/>
      <c r="C21" s="99" t="s">
        <v>67</v>
      </c>
      <c r="D21" s="82">
        <v>1</v>
      </c>
    </row>
    <row r="22" spans="2:5" s="1" customFormat="1" x14ac:dyDescent="0.35">
      <c r="B22" s="88"/>
      <c r="C22" s="99" t="s">
        <v>68</v>
      </c>
      <c r="D22" s="82"/>
    </row>
    <row r="23" spans="2:5" s="1" customFormat="1" x14ac:dyDescent="0.35">
      <c r="B23" s="88"/>
      <c r="C23" s="99" t="s">
        <v>69</v>
      </c>
      <c r="D23" s="82">
        <v>1</v>
      </c>
    </row>
    <row r="24" spans="2:5" s="1" customFormat="1" x14ac:dyDescent="0.35">
      <c r="B24" s="88"/>
      <c r="C24" s="99" t="s">
        <v>70</v>
      </c>
      <c r="D24" s="82">
        <v>1</v>
      </c>
    </row>
    <row r="25" spans="2:5" x14ac:dyDescent="0.35">
      <c r="B25" s="76"/>
      <c r="C25" s="25" t="s">
        <v>71</v>
      </c>
      <c r="D25" s="71"/>
    </row>
    <row r="26" spans="2:5" x14ac:dyDescent="0.35">
      <c r="B26" s="77"/>
      <c r="C26" s="25" t="s">
        <v>77</v>
      </c>
      <c r="D26" s="71"/>
    </row>
    <row r="27" spans="2:5" x14ac:dyDescent="0.35">
      <c r="B27" s="116" t="s">
        <v>162</v>
      </c>
      <c r="C27" s="117"/>
      <c r="D27" s="71"/>
    </row>
    <row r="28" spans="2:5" x14ac:dyDescent="0.35">
      <c r="B28" s="116" t="s">
        <v>112</v>
      </c>
      <c r="C28" s="117"/>
      <c r="D28" s="71"/>
    </row>
    <row r="29" spans="2:5" x14ac:dyDescent="0.35">
      <c r="B29" s="76" t="s">
        <v>102</v>
      </c>
      <c r="C29" s="49" t="s">
        <v>103</v>
      </c>
      <c r="D29" s="71"/>
    </row>
    <row r="30" spans="2:5" x14ac:dyDescent="0.35">
      <c r="B30" s="76"/>
      <c r="C30" s="61" t="s">
        <v>165</v>
      </c>
      <c r="D30" s="71">
        <v>1</v>
      </c>
      <c r="E30" s="66"/>
    </row>
    <row r="31" spans="2:5" x14ac:dyDescent="0.35">
      <c r="B31" s="76"/>
      <c r="C31" s="25" t="s">
        <v>65</v>
      </c>
      <c r="D31" s="71">
        <v>1</v>
      </c>
      <c r="E31" s="66"/>
    </row>
    <row r="32" spans="2:5" x14ac:dyDescent="0.35">
      <c r="B32" s="76"/>
      <c r="C32" s="25" t="s">
        <v>66</v>
      </c>
      <c r="D32" s="71"/>
    </row>
    <row r="33" spans="2:5" x14ac:dyDescent="0.35">
      <c r="B33" s="76"/>
      <c r="C33" s="25" t="s">
        <v>67</v>
      </c>
      <c r="D33" s="71"/>
    </row>
    <row r="34" spans="2:5" s="1" customFormat="1" x14ac:dyDescent="0.35">
      <c r="B34" s="88"/>
      <c r="C34" s="99" t="s">
        <v>68</v>
      </c>
      <c r="D34" s="82">
        <v>2</v>
      </c>
    </row>
    <row r="35" spans="2:5" x14ac:dyDescent="0.35">
      <c r="B35" s="76"/>
      <c r="C35" s="25" t="s">
        <v>69</v>
      </c>
      <c r="D35" s="71"/>
    </row>
    <row r="36" spans="2:5" x14ac:dyDescent="0.35">
      <c r="B36" s="76"/>
      <c r="C36" s="25" t="s">
        <v>70</v>
      </c>
      <c r="D36" s="71"/>
    </row>
    <row r="37" spans="2:5" x14ac:dyDescent="0.35">
      <c r="B37" s="76"/>
      <c r="C37" s="25" t="s">
        <v>71</v>
      </c>
      <c r="D37" s="71"/>
    </row>
    <row r="38" spans="2:5" x14ac:dyDescent="0.35">
      <c r="B38" s="77"/>
      <c r="C38" s="25" t="s">
        <v>73</v>
      </c>
      <c r="D38" s="71"/>
    </row>
    <row r="39" spans="2:5" x14ac:dyDescent="0.35">
      <c r="B39" s="77"/>
      <c r="C39" s="25" t="s">
        <v>77</v>
      </c>
      <c r="D39" s="71"/>
    </row>
    <row r="40" spans="2:5" x14ac:dyDescent="0.35">
      <c r="B40" s="77"/>
      <c r="C40" s="58" t="s">
        <v>104</v>
      </c>
      <c r="D40" s="71"/>
    </row>
    <row r="41" spans="2:5" x14ac:dyDescent="0.35">
      <c r="B41" s="77"/>
      <c r="C41" s="17" t="s">
        <v>168</v>
      </c>
      <c r="D41" s="71">
        <f>SUM(D18:D40)</f>
        <v>9</v>
      </c>
    </row>
    <row r="42" spans="2:5" x14ac:dyDescent="0.35">
      <c r="B42" s="73"/>
      <c r="D42" s="74"/>
    </row>
    <row r="43" spans="2:5" x14ac:dyDescent="0.35">
      <c r="B43" s="73"/>
      <c r="D43" s="74"/>
    </row>
    <row r="44" spans="2:5" ht="21" x14ac:dyDescent="0.35">
      <c r="B44" s="105" t="s">
        <v>170</v>
      </c>
      <c r="C44" s="106"/>
      <c r="D44" s="107"/>
    </row>
    <row r="45" spans="2:5" ht="15" thickBot="1" x14ac:dyDescent="0.4">
      <c r="B45" s="47" t="s">
        <v>102</v>
      </c>
      <c r="C45" s="59" t="s">
        <v>103</v>
      </c>
      <c r="D45" s="78" t="s">
        <v>189</v>
      </c>
    </row>
    <row r="46" spans="2:5" ht="15" thickBot="1" x14ac:dyDescent="0.4">
      <c r="B46" s="118" t="s">
        <v>105</v>
      </c>
      <c r="C46" s="119"/>
      <c r="D46" s="71"/>
    </row>
    <row r="47" spans="2:5" ht="15" thickBot="1" x14ac:dyDescent="0.4">
      <c r="B47" s="47"/>
      <c r="C47" s="54" t="s">
        <v>169</v>
      </c>
      <c r="D47" s="71">
        <v>1</v>
      </c>
    </row>
    <row r="48" spans="2:5" ht="15" thickBot="1" x14ac:dyDescent="0.4">
      <c r="B48" s="47"/>
      <c r="C48" s="54" t="s">
        <v>166</v>
      </c>
      <c r="D48" s="79">
        <v>2</v>
      </c>
      <c r="E48" s="67"/>
    </row>
    <row r="49" spans="2:5" ht="15" thickBot="1" x14ac:dyDescent="0.4">
      <c r="B49" s="47"/>
      <c r="C49" s="54" t="s">
        <v>107</v>
      </c>
      <c r="D49" s="79">
        <v>6</v>
      </c>
      <c r="E49" s="67"/>
    </row>
    <row r="50" spans="2:5" ht="15" thickBot="1" x14ac:dyDescent="0.4">
      <c r="B50" s="47"/>
      <c r="C50" s="54" t="s">
        <v>110</v>
      </c>
      <c r="D50" s="71"/>
    </row>
    <row r="51" spans="2:5" ht="15" thickBot="1" x14ac:dyDescent="0.4">
      <c r="B51" s="47"/>
      <c r="C51" s="54" t="s">
        <v>111</v>
      </c>
      <c r="D51" s="71"/>
    </row>
    <row r="52" spans="2:5" ht="15" thickBot="1" x14ac:dyDescent="0.4">
      <c r="B52" s="48"/>
      <c r="C52" s="56" t="s">
        <v>171</v>
      </c>
      <c r="D52" s="71"/>
    </row>
    <row r="53" spans="2:5" ht="15" thickBot="1" x14ac:dyDescent="0.4">
      <c r="B53" s="118" t="s">
        <v>112</v>
      </c>
      <c r="C53" s="119"/>
      <c r="D53" s="71"/>
    </row>
    <row r="54" spans="2:5" ht="15" thickBot="1" x14ac:dyDescent="0.4">
      <c r="B54" s="118" t="s">
        <v>114</v>
      </c>
      <c r="C54" s="119"/>
      <c r="D54" s="71"/>
    </row>
    <row r="55" spans="2:5" ht="15" thickBot="1" x14ac:dyDescent="0.4">
      <c r="B55" s="47" t="s">
        <v>115</v>
      </c>
      <c r="C55" s="54" t="s">
        <v>166</v>
      </c>
      <c r="D55" s="71">
        <v>1</v>
      </c>
      <c r="E55" s="66"/>
    </row>
    <row r="56" spans="2:5" ht="15" thickBot="1" x14ac:dyDescent="0.4">
      <c r="B56" s="47"/>
      <c r="C56" s="54" t="s">
        <v>110</v>
      </c>
      <c r="D56" s="71"/>
    </row>
    <row r="57" spans="2:5" ht="15" thickBot="1" x14ac:dyDescent="0.4">
      <c r="B57" s="47"/>
      <c r="C57" s="80" t="s">
        <v>111</v>
      </c>
      <c r="D57" s="71"/>
    </row>
    <row r="58" spans="2:5" x14ac:dyDescent="0.35">
      <c r="B58" s="53"/>
      <c r="C58" s="55" t="s">
        <v>104</v>
      </c>
      <c r="D58" s="71">
        <f>SUM(D47:D57)</f>
        <v>10</v>
      </c>
    </row>
    <row r="59" spans="2:5" x14ac:dyDescent="0.35">
      <c r="B59" s="81"/>
      <c r="C59" s="60" t="s">
        <v>168</v>
      </c>
      <c r="D59" s="71"/>
    </row>
    <row r="60" spans="2:5" x14ac:dyDescent="0.35">
      <c r="B60" s="73"/>
      <c r="D60" s="74"/>
    </row>
    <row r="61" spans="2:5" x14ac:dyDescent="0.35">
      <c r="B61" s="73"/>
      <c r="D61" s="74"/>
    </row>
    <row r="62" spans="2:5" ht="21" x14ac:dyDescent="0.35">
      <c r="B62" s="120" t="s">
        <v>101</v>
      </c>
      <c r="C62" s="121"/>
      <c r="D62" s="122"/>
    </row>
    <row r="63" spans="2:5" x14ac:dyDescent="0.35">
      <c r="B63" s="76" t="s">
        <v>102</v>
      </c>
      <c r="C63" s="49" t="s">
        <v>103</v>
      </c>
      <c r="D63" s="69" t="s">
        <v>190</v>
      </c>
    </row>
    <row r="64" spans="2:5" x14ac:dyDescent="0.35">
      <c r="B64" s="76"/>
      <c r="C64" s="61" t="s">
        <v>45</v>
      </c>
      <c r="D64" s="78">
        <v>1</v>
      </c>
      <c r="E64" s="67"/>
    </row>
    <row r="65" spans="2:5" x14ac:dyDescent="0.35">
      <c r="B65" s="111" t="s">
        <v>105</v>
      </c>
      <c r="C65" s="112"/>
      <c r="D65" s="82"/>
    </row>
    <row r="66" spans="2:5" x14ac:dyDescent="0.35">
      <c r="B66" s="76"/>
      <c r="C66" s="62" t="s">
        <v>106</v>
      </c>
      <c r="D66" s="82">
        <v>2</v>
      </c>
      <c r="E66" s="67"/>
    </row>
    <row r="67" spans="2:5" x14ac:dyDescent="0.35">
      <c r="B67" s="76"/>
      <c r="C67" s="62" t="s">
        <v>107</v>
      </c>
      <c r="D67" s="82">
        <v>7</v>
      </c>
      <c r="E67" s="67"/>
    </row>
    <row r="68" spans="2:5" x14ac:dyDescent="0.35">
      <c r="B68" s="76"/>
      <c r="C68" s="62" t="s">
        <v>108</v>
      </c>
      <c r="D68" s="82">
        <v>7</v>
      </c>
      <c r="E68" s="67"/>
    </row>
    <row r="69" spans="2:5" x14ac:dyDescent="0.35">
      <c r="B69" s="76"/>
      <c r="C69" s="62" t="s">
        <v>109</v>
      </c>
      <c r="D69" s="82"/>
    </row>
    <row r="70" spans="2:5" x14ac:dyDescent="0.35">
      <c r="B70" s="76"/>
      <c r="C70" s="62" t="s">
        <v>110</v>
      </c>
      <c r="D70" s="82"/>
    </row>
    <row r="71" spans="2:5" x14ac:dyDescent="0.35">
      <c r="B71" s="76"/>
      <c r="C71" s="62" t="s">
        <v>111</v>
      </c>
      <c r="D71" s="82"/>
    </row>
    <row r="72" spans="2:5" x14ac:dyDescent="0.35">
      <c r="B72" s="76"/>
      <c r="C72" s="49"/>
      <c r="D72" s="78">
        <f>SUM(D66:D71)</f>
        <v>16</v>
      </c>
    </row>
    <row r="73" spans="2:5" x14ac:dyDescent="0.35">
      <c r="B73" s="111" t="s">
        <v>112</v>
      </c>
      <c r="C73" s="112"/>
      <c r="D73" s="82"/>
    </row>
    <row r="74" spans="2:5" x14ac:dyDescent="0.35">
      <c r="B74" s="76" t="s">
        <v>113</v>
      </c>
      <c r="C74" s="62" t="s">
        <v>106</v>
      </c>
      <c r="D74" s="78">
        <v>2</v>
      </c>
    </row>
    <row r="75" spans="2:5" x14ac:dyDescent="0.35">
      <c r="B75" s="111" t="s">
        <v>114</v>
      </c>
      <c r="C75" s="112"/>
      <c r="D75" s="71"/>
    </row>
    <row r="76" spans="2:5" x14ac:dyDescent="0.35">
      <c r="B76" s="76" t="s">
        <v>115</v>
      </c>
      <c r="C76" s="62" t="s">
        <v>116</v>
      </c>
      <c r="D76" s="71">
        <v>4</v>
      </c>
    </row>
    <row r="77" spans="2:5" x14ac:dyDescent="0.35">
      <c r="B77" s="76"/>
      <c r="C77" s="62" t="s">
        <v>186</v>
      </c>
      <c r="D77" s="71">
        <v>4</v>
      </c>
    </row>
    <row r="78" spans="2:5" x14ac:dyDescent="0.35">
      <c r="B78" s="76" t="s">
        <v>117</v>
      </c>
      <c r="C78" s="62" t="s">
        <v>118</v>
      </c>
      <c r="D78" s="71">
        <v>1</v>
      </c>
    </row>
    <row r="79" spans="2:5" x14ac:dyDescent="0.35">
      <c r="B79" s="76"/>
      <c r="C79" s="62" t="s">
        <v>119</v>
      </c>
      <c r="D79" s="71"/>
    </row>
    <row r="80" spans="2:5" x14ac:dyDescent="0.35">
      <c r="B80" s="76"/>
      <c r="C80" s="62" t="s">
        <v>110</v>
      </c>
      <c r="D80" s="71"/>
    </row>
    <row r="81" spans="2:4" x14ac:dyDescent="0.35">
      <c r="B81" s="76"/>
      <c r="C81" s="62" t="s">
        <v>111</v>
      </c>
      <c r="D81" s="71"/>
    </row>
    <row r="82" spans="2:4" x14ac:dyDescent="0.35">
      <c r="B82" s="76"/>
      <c r="C82" s="49"/>
      <c r="D82" s="78">
        <f>SUM(D76:D81)</f>
        <v>9</v>
      </c>
    </row>
    <row r="83" spans="2:4" x14ac:dyDescent="0.35">
      <c r="B83" s="111" t="s">
        <v>120</v>
      </c>
      <c r="C83" s="112"/>
      <c r="D83" s="71"/>
    </row>
    <row r="84" spans="2:4" x14ac:dyDescent="0.35">
      <c r="B84" s="76" t="s">
        <v>121</v>
      </c>
      <c r="C84" s="62" t="s">
        <v>122</v>
      </c>
      <c r="D84" s="71">
        <v>4</v>
      </c>
    </row>
    <row r="85" spans="2:4" x14ac:dyDescent="0.35">
      <c r="B85" s="76"/>
      <c r="C85" s="62" t="s">
        <v>123</v>
      </c>
      <c r="D85" s="71">
        <v>2</v>
      </c>
    </row>
    <row r="86" spans="2:4" x14ac:dyDescent="0.35">
      <c r="B86" s="76"/>
      <c r="C86" s="62" t="s">
        <v>111</v>
      </c>
      <c r="D86" s="71"/>
    </row>
    <row r="87" spans="2:4" ht="43.5" x14ac:dyDescent="0.35">
      <c r="B87" s="83" t="s">
        <v>124</v>
      </c>
      <c r="C87" s="62" t="s">
        <v>125</v>
      </c>
      <c r="D87" s="71">
        <v>4</v>
      </c>
    </row>
    <row r="88" spans="2:4" x14ac:dyDescent="0.35">
      <c r="B88" s="76"/>
      <c r="C88" s="62" t="s">
        <v>126</v>
      </c>
      <c r="D88" s="71">
        <v>4</v>
      </c>
    </row>
    <row r="89" spans="2:4" x14ac:dyDescent="0.35">
      <c r="B89" s="76"/>
      <c r="C89" s="62" t="s">
        <v>111</v>
      </c>
      <c r="D89" s="71"/>
    </row>
    <row r="90" spans="2:4" x14ac:dyDescent="0.35">
      <c r="B90" s="76" t="s">
        <v>187</v>
      </c>
      <c r="C90" s="62" t="s">
        <v>188</v>
      </c>
      <c r="D90" s="71">
        <v>4</v>
      </c>
    </row>
    <row r="91" spans="2:4" x14ac:dyDescent="0.35">
      <c r="B91" s="76" t="s">
        <v>127</v>
      </c>
      <c r="C91" s="62" t="s">
        <v>51</v>
      </c>
      <c r="D91" s="71"/>
    </row>
    <row r="92" spans="2:4" x14ac:dyDescent="0.35">
      <c r="B92" s="76"/>
      <c r="C92" s="62" t="s">
        <v>128</v>
      </c>
      <c r="D92" s="71"/>
    </row>
    <row r="93" spans="2:4" x14ac:dyDescent="0.35">
      <c r="B93" s="76"/>
      <c r="C93" s="62" t="s">
        <v>129</v>
      </c>
      <c r="D93" s="71"/>
    </row>
    <row r="94" spans="2:4" x14ac:dyDescent="0.35">
      <c r="B94" s="76"/>
      <c r="C94" s="62" t="s">
        <v>130</v>
      </c>
      <c r="D94" s="71"/>
    </row>
    <row r="95" spans="2:4" x14ac:dyDescent="0.35">
      <c r="B95" s="76"/>
      <c r="C95" s="62" t="s">
        <v>131</v>
      </c>
      <c r="D95" s="71"/>
    </row>
    <row r="96" spans="2:4" x14ac:dyDescent="0.35">
      <c r="B96" s="76"/>
      <c r="C96" s="62" t="s">
        <v>111</v>
      </c>
      <c r="D96" s="71"/>
    </row>
    <row r="97" spans="2:4" x14ac:dyDescent="0.35">
      <c r="B97" s="84"/>
      <c r="C97" s="64" t="s">
        <v>104</v>
      </c>
      <c r="D97" s="78">
        <f>SUM(D84:D96)</f>
        <v>18</v>
      </c>
    </row>
    <row r="98" spans="2:4" x14ac:dyDescent="0.35">
      <c r="B98" s="85"/>
      <c r="C98" s="6" t="s">
        <v>172</v>
      </c>
      <c r="D98" s="78">
        <f>D97+D82+D74+D72+D64</f>
        <v>46</v>
      </c>
    </row>
    <row r="99" spans="2:4" x14ac:dyDescent="0.35">
      <c r="B99" s="86"/>
      <c r="C99" s="1"/>
      <c r="D99" s="87"/>
    </row>
    <row r="100" spans="2:4" ht="21" x14ac:dyDescent="0.35">
      <c r="B100" s="126" t="s">
        <v>145</v>
      </c>
      <c r="C100" s="127"/>
      <c r="D100" s="128"/>
    </row>
    <row r="101" spans="2:4" x14ac:dyDescent="0.35">
      <c r="B101" s="88" t="s">
        <v>102</v>
      </c>
      <c r="C101" s="51" t="s">
        <v>103</v>
      </c>
      <c r="D101" s="78" t="s">
        <v>189</v>
      </c>
    </row>
    <row r="102" spans="2:4" x14ac:dyDescent="0.35">
      <c r="B102" s="88"/>
      <c r="C102" s="65" t="s">
        <v>45</v>
      </c>
      <c r="D102" s="82">
        <v>1</v>
      </c>
    </row>
    <row r="103" spans="2:4" x14ac:dyDescent="0.35">
      <c r="B103" s="111" t="s">
        <v>105</v>
      </c>
      <c r="C103" s="112"/>
      <c r="D103" s="71"/>
    </row>
    <row r="104" spans="2:4" x14ac:dyDescent="0.35">
      <c r="B104" s="76" t="s">
        <v>105</v>
      </c>
      <c r="C104" s="62" t="s">
        <v>106</v>
      </c>
      <c r="D104" s="71">
        <v>2</v>
      </c>
    </row>
    <row r="105" spans="2:4" x14ac:dyDescent="0.35">
      <c r="B105" s="76"/>
      <c r="C105" s="62" t="s">
        <v>132</v>
      </c>
      <c r="D105" s="71">
        <v>8</v>
      </c>
    </row>
    <row r="106" spans="2:4" x14ac:dyDescent="0.35">
      <c r="B106" s="76"/>
      <c r="C106" s="62" t="s">
        <v>133</v>
      </c>
      <c r="D106" s="71"/>
    </row>
    <row r="107" spans="2:4" x14ac:dyDescent="0.35">
      <c r="B107" s="76"/>
      <c r="C107" s="62" t="s">
        <v>134</v>
      </c>
      <c r="D107" s="71"/>
    </row>
    <row r="108" spans="2:4" x14ac:dyDescent="0.35">
      <c r="B108" s="76"/>
      <c r="C108" s="62" t="s">
        <v>148</v>
      </c>
      <c r="D108" s="71">
        <v>10</v>
      </c>
    </row>
    <row r="109" spans="2:4" x14ac:dyDescent="0.35">
      <c r="B109" s="76"/>
      <c r="C109" s="62" t="s">
        <v>146</v>
      </c>
      <c r="D109" s="71"/>
    </row>
    <row r="110" spans="2:4" x14ac:dyDescent="0.35">
      <c r="B110" s="76"/>
      <c r="C110" s="62" t="s">
        <v>147</v>
      </c>
      <c r="D110" s="71"/>
    </row>
    <row r="111" spans="2:4" x14ac:dyDescent="0.35">
      <c r="B111" s="76"/>
      <c r="C111" s="62" t="s">
        <v>134</v>
      </c>
      <c r="D111" s="71"/>
    </row>
    <row r="112" spans="2:4" x14ac:dyDescent="0.35">
      <c r="B112" s="76"/>
      <c r="C112" s="52"/>
      <c r="D112" s="78">
        <f>SUM(D102:D111)</f>
        <v>21</v>
      </c>
    </row>
    <row r="113" spans="2:4" x14ac:dyDescent="0.35">
      <c r="B113" s="111" t="s">
        <v>149</v>
      </c>
      <c r="C113" s="112"/>
      <c r="D113" s="71"/>
    </row>
    <row r="114" spans="2:4" x14ac:dyDescent="0.35">
      <c r="B114" s="75"/>
      <c r="C114" s="62" t="s">
        <v>106</v>
      </c>
      <c r="D114" s="71">
        <v>2</v>
      </c>
    </row>
    <row r="115" spans="2:4" x14ac:dyDescent="0.35">
      <c r="B115" s="76" t="s">
        <v>137</v>
      </c>
      <c r="C115" s="62" t="s">
        <v>135</v>
      </c>
      <c r="D115" s="71">
        <v>4</v>
      </c>
    </row>
    <row r="116" spans="2:4" x14ac:dyDescent="0.35">
      <c r="B116" s="76"/>
      <c r="C116" s="62" t="s">
        <v>136</v>
      </c>
      <c r="D116" s="71">
        <v>2</v>
      </c>
    </row>
    <row r="117" spans="2:4" ht="29" x14ac:dyDescent="0.35">
      <c r="B117" s="83" t="s">
        <v>153</v>
      </c>
      <c r="C117" s="25" t="s">
        <v>75</v>
      </c>
      <c r="D117" s="71">
        <v>4</v>
      </c>
    </row>
    <row r="118" spans="2:4" x14ac:dyDescent="0.35">
      <c r="B118" s="76" t="s">
        <v>139</v>
      </c>
      <c r="C118" s="25" t="s">
        <v>141</v>
      </c>
      <c r="D118" s="71">
        <v>2</v>
      </c>
    </row>
    <row r="119" spans="2:4" x14ac:dyDescent="0.35">
      <c r="B119" s="76"/>
      <c r="C119" s="25" t="s">
        <v>138</v>
      </c>
      <c r="D119" s="71">
        <v>2</v>
      </c>
    </row>
    <row r="120" spans="2:4" x14ac:dyDescent="0.35">
      <c r="B120" s="76" t="s">
        <v>140</v>
      </c>
      <c r="C120" s="25" t="s">
        <v>141</v>
      </c>
      <c r="D120" s="71">
        <v>3</v>
      </c>
    </row>
    <row r="121" spans="2:4" x14ac:dyDescent="0.35">
      <c r="B121" s="76"/>
      <c r="C121" s="25" t="s">
        <v>138</v>
      </c>
      <c r="D121" s="71">
        <v>3</v>
      </c>
    </row>
    <row r="122" spans="2:4" x14ac:dyDescent="0.35">
      <c r="B122" s="76"/>
      <c r="C122" s="62" t="s">
        <v>142</v>
      </c>
      <c r="D122" s="71">
        <v>3</v>
      </c>
    </row>
    <row r="123" spans="2:4" x14ac:dyDescent="0.35">
      <c r="B123" s="76"/>
      <c r="C123" s="25" t="s">
        <v>143</v>
      </c>
      <c r="D123" s="71">
        <v>3</v>
      </c>
    </row>
    <row r="124" spans="2:4" x14ac:dyDescent="0.35">
      <c r="B124" s="88" t="s">
        <v>151</v>
      </c>
      <c r="C124" s="63" t="s">
        <v>152</v>
      </c>
      <c r="D124" s="71">
        <v>4</v>
      </c>
    </row>
    <row r="125" spans="2:4" x14ac:dyDescent="0.35">
      <c r="B125" s="77" t="s">
        <v>154</v>
      </c>
      <c r="C125" s="25" t="s">
        <v>155</v>
      </c>
      <c r="D125" s="71">
        <v>4</v>
      </c>
    </row>
    <row r="126" spans="2:4" x14ac:dyDescent="0.35">
      <c r="B126" s="89"/>
      <c r="C126" s="25" t="s">
        <v>150</v>
      </c>
      <c r="D126" s="71">
        <v>2</v>
      </c>
    </row>
    <row r="127" spans="2:4" x14ac:dyDescent="0.35">
      <c r="B127" s="77"/>
      <c r="C127" s="25" t="s">
        <v>36</v>
      </c>
      <c r="D127" s="71"/>
    </row>
    <row r="128" spans="2:4" x14ac:dyDescent="0.35">
      <c r="B128" s="77"/>
      <c r="C128" s="25" t="s">
        <v>160</v>
      </c>
      <c r="D128" s="71">
        <v>1</v>
      </c>
    </row>
    <row r="129" spans="2:4" x14ac:dyDescent="0.35">
      <c r="B129" s="77" t="s">
        <v>157</v>
      </c>
      <c r="C129" s="25" t="s">
        <v>158</v>
      </c>
      <c r="D129" s="71">
        <v>4</v>
      </c>
    </row>
    <row r="130" spans="2:4" x14ac:dyDescent="0.35">
      <c r="B130" s="77"/>
      <c r="C130" s="25" t="s">
        <v>159</v>
      </c>
      <c r="D130" s="71">
        <v>4</v>
      </c>
    </row>
    <row r="131" spans="2:4" x14ac:dyDescent="0.35">
      <c r="B131" s="89" t="s">
        <v>156</v>
      </c>
      <c r="C131" s="25" t="s">
        <v>141</v>
      </c>
      <c r="D131" s="71">
        <v>4</v>
      </c>
    </row>
    <row r="132" spans="2:4" x14ac:dyDescent="0.35">
      <c r="B132" s="77"/>
      <c r="C132" s="25" t="s">
        <v>138</v>
      </c>
      <c r="D132" s="71">
        <v>4</v>
      </c>
    </row>
    <row r="133" spans="2:4" x14ac:dyDescent="0.35">
      <c r="B133" s="76"/>
      <c r="C133" s="25" t="s">
        <v>35</v>
      </c>
      <c r="D133" s="71">
        <v>1</v>
      </c>
    </row>
    <row r="134" spans="2:4" x14ac:dyDescent="0.35">
      <c r="B134" s="76"/>
      <c r="C134" s="25" t="s">
        <v>144</v>
      </c>
      <c r="D134" s="71">
        <v>4</v>
      </c>
    </row>
    <row r="135" spans="2:4" x14ac:dyDescent="0.35">
      <c r="B135" s="76"/>
      <c r="C135" s="25" t="s">
        <v>76</v>
      </c>
      <c r="D135" s="71">
        <v>6</v>
      </c>
    </row>
    <row r="136" spans="2:4" x14ac:dyDescent="0.35">
      <c r="B136" s="90"/>
      <c r="C136" s="25" t="s">
        <v>58</v>
      </c>
      <c r="D136" s="71">
        <v>1</v>
      </c>
    </row>
    <row r="137" spans="2:4" x14ac:dyDescent="0.35">
      <c r="B137" s="77"/>
      <c r="C137" s="25" t="s">
        <v>161</v>
      </c>
      <c r="D137" s="71">
        <v>1</v>
      </c>
    </row>
    <row r="138" spans="2:4" x14ac:dyDescent="0.35">
      <c r="B138" s="90"/>
      <c r="C138" s="16" t="s">
        <v>162</v>
      </c>
      <c r="D138" s="91">
        <f>SUM(D114:D137)</f>
        <v>68</v>
      </c>
    </row>
    <row r="139" spans="2:4" x14ac:dyDescent="0.35">
      <c r="B139" s="92"/>
      <c r="C139" s="24" t="s">
        <v>163</v>
      </c>
      <c r="D139" s="78">
        <f>D138+D112</f>
        <v>89</v>
      </c>
    </row>
    <row r="140" spans="2:4" x14ac:dyDescent="0.35">
      <c r="B140" s="86"/>
      <c r="C140" s="1"/>
      <c r="D140" s="87"/>
    </row>
    <row r="141" spans="2:4" x14ac:dyDescent="0.35">
      <c r="B141" s="108" t="s">
        <v>88</v>
      </c>
      <c r="C141" s="109"/>
      <c r="D141" s="110"/>
    </row>
    <row r="142" spans="2:4" x14ac:dyDescent="0.35">
      <c r="B142" s="68" t="s">
        <v>3</v>
      </c>
      <c r="C142" s="4" t="s">
        <v>4</v>
      </c>
      <c r="D142" s="78" t="s">
        <v>189</v>
      </c>
    </row>
    <row r="143" spans="2:4" x14ac:dyDescent="0.35">
      <c r="B143" s="90">
        <v>1</v>
      </c>
      <c r="C143" s="40" t="s">
        <v>89</v>
      </c>
      <c r="D143" s="93">
        <v>0</v>
      </c>
    </row>
    <row r="144" spans="2:4" x14ac:dyDescent="0.35">
      <c r="B144" s="90">
        <v>2</v>
      </c>
      <c r="C144" s="40" t="s">
        <v>90</v>
      </c>
      <c r="D144" s="93">
        <v>0</v>
      </c>
    </row>
    <row r="145" spans="2:5" x14ac:dyDescent="0.35">
      <c r="B145" s="90">
        <v>3</v>
      </c>
      <c r="C145" s="40" t="s">
        <v>91</v>
      </c>
      <c r="D145" s="93">
        <v>0</v>
      </c>
    </row>
    <row r="146" spans="2:5" x14ac:dyDescent="0.35">
      <c r="B146" s="90">
        <v>4</v>
      </c>
      <c r="C146" s="40" t="s">
        <v>92</v>
      </c>
      <c r="D146" s="93">
        <v>0</v>
      </c>
    </row>
    <row r="147" spans="2:5" x14ac:dyDescent="0.35">
      <c r="B147" s="90">
        <v>5</v>
      </c>
      <c r="C147" s="40" t="s">
        <v>93</v>
      </c>
      <c r="D147" s="93">
        <v>0</v>
      </c>
    </row>
    <row r="148" spans="2:5" x14ac:dyDescent="0.35">
      <c r="B148" s="90">
        <v>6</v>
      </c>
      <c r="C148" s="40" t="s">
        <v>94</v>
      </c>
      <c r="D148" s="93">
        <v>0</v>
      </c>
    </row>
    <row r="149" spans="2:5" x14ac:dyDescent="0.35">
      <c r="B149" s="90">
        <v>7</v>
      </c>
      <c r="C149" s="40" t="s">
        <v>95</v>
      </c>
      <c r="D149" s="93">
        <v>0</v>
      </c>
    </row>
    <row r="150" spans="2:5" x14ac:dyDescent="0.35">
      <c r="B150" s="90">
        <v>8</v>
      </c>
      <c r="C150" s="40" t="s">
        <v>96</v>
      </c>
      <c r="D150" s="93">
        <v>0</v>
      </c>
    </row>
    <row r="151" spans="2:5" x14ac:dyDescent="0.35">
      <c r="B151" s="90">
        <v>9</v>
      </c>
      <c r="C151" s="40" t="s">
        <v>97</v>
      </c>
      <c r="D151" s="93">
        <v>0</v>
      </c>
    </row>
    <row r="152" spans="2:5" x14ac:dyDescent="0.35">
      <c r="B152" s="94" t="s">
        <v>98</v>
      </c>
      <c r="C152" s="37"/>
      <c r="D152" s="93">
        <v>0</v>
      </c>
    </row>
    <row r="153" spans="2:5" x14ac:dyDescent="0.35">
      <c r="B153" s="73"/>
      <c r="D153" s="74"/>
    </row>
    <row r="154" spans="2:5" x14ac:dyDescent="0.35">
      <c r="B154" s="123" t="s">
        <v>80</v>
      </c>
      <c r="C154" s="124"/>
      <c r="D154" s="125"/>
    </row>
    <row r="155" spans="2:5" x14ac:dyDescent="0.35">
      <c r="B155" s="68" t="s">
        <v>3</v>
      </c>
      <c r="C155" s="4" t="s">
        <v>4</v>
      </c>
      <c r="D155" s="78" t="s">
        <v>189</v>
      </c>
    </row>
    <row r="156" spans="2:5" x14ac:dyDescent="0.35">
      <c r="B156" s="90">
        <v>1</v>
      </c>
      <c r="C156" s="40" t="s">
        <v>180</v>
      </c>
      <c r="D156" s="82">
        <v>1</v>
      </c>
    </row>
    <row r="157" spans="2:5" x14ac:dyDescent="0.35">
      <c r="B157" s="90">
        <v>2</v>
      </c>
      <c r="C157" s="40" t="s">
        <v>82</v>
      </c>
      <c r="D157" s="82">
        <v>1</v>
      </c>
      <c r="E157" s="67"/>
    </row>
    <row r="158" spans="2:5" x14ac:dyDescent="0.35">
      <c r="B158" s="90">
        <v>3</v>
      </c>
      <c r="C158" s="40" t="s">
        <v>83</v>
      </c>
      <c r="D158" s="82">
        <v>1</v>
      </c>
    </row>
    <row r="159" spans="2:5" x14ac:dyDescent="0.35">
      <c r="B159" s="90">
        <v>4</v>
      </c>
      <c r="C159" s="40" t="s">
        <v>84</v>
      </c>
      <c r="D159" s="82">
        <v>1</v>
      </c>
    </row>
    <row r="160" spans="2:5" x14ac:dyDescent="0.35">
      <c r="B160" s="90">
        <v>5</v>
      </c>
      <c r="C160" s="40" t="s">
        <v>181</v>
      </c>
      <c r="D160" s="82">
        <v>1</v>
      </c>
      <c r="E160" s="67"/>
    </row>
    <row r="161" spans="2:5" x14ac:dyDescent="0.35">
      <c r="B161" s="90">
        <v>6</v>
      </c>
      <c r="C161" s="40" t="s">
        <v>182</v>
      </c>
      <c r="D161" s="82">
        <v>2</v>
      </c>
      <c r="E161" s="67"/>
    </row>
    <row r="162" spans="2:5" s="1" customFormat="1" x14ac:dyDescent="0.35">
      <c r="B162" s="92">
        <v>7</v>
      </c>
      <c r="C162" s="12" t="s">
        <v>183</v>
      </c>
      <c r="D162" s="82">
        <v>1</v>
      </c>
    </row>
    <row r="163" spans="2:5" s="1" customFormat="1" x14ac:dyDescent="0.35">
      <c r="B163" s="92">
        <v>8</v>
      </c>
      <c r="C163" s="12" t="s">
        <v>184</v>
      </c>
      <c r="D163" s="82">
        <v>2</v>
      </c>
    </row>
    <row r="164" spans="2:5" ht="15" thickBot="1" x14ac:dyDescent="0.4">
      <c r="B164" s="95" t="s">
        <v>86</v>
      </c>
      <c r="C164" s="96"/>
      <c r="D164" s="97">
        <f>SUM(D156:D163)</f>
        <v>10</v>
      </c>
    </row>
  </sheetData>
  <mergeCells count="20">
    <mergeCell ref="B154:D154"/>
    <mergeCell ref="B75:C75"/>
    <mergeCell ref="B83:C83"/>
    <mergeCell ref="B100:D100"/>
    <mergeCell ref="B103:C103"/>
    <mergeCell ref="B113:C113"/>
    <mergeCell ref="B141:D141"/>
    <mergeCell ref="B2:D2"/>
    <mergeCell ref="B44:D44"/>
    <mergeCell ref="B3:D3"/>
    <mergeCell ref="B73:C73"/>
    <mergeCell ref="B15:D15"/>
    <mergeCell ref="B16:C16"/>
    <mergeCell ref="B27:C27"/>
    <mergeCell ref="B28:C28"/>
    <mergeCell ref="B46:C46"/>
    <mergeCell ref="B53:C53"/>
    <mergeCell ref="B54:C54"/>
    <mergeCell ref="B62:D62"/>
    <mergeCell ref="B65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CLR quotation</vt:lpstr>
      <vt:lpstr>Ph-1 proposal</vt:lpstr>
      <vt:lpstr>Phase-1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Patil</dc:creator>
  <cp:lastModifiedBy>Sandip Gaikwad</cp:lastModifiedBy>
  <dcterms:created xsi:type="dcterms:W3CDTF">2015-06-05T18:17:20Z</dcterms:created>
  <dcterms:modified xsi:type="dcterms:W3CDTF">2026-07-07T09:41:18Z</dcterms:modified>
</cp:coreProperties>
</file>