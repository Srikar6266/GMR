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172_vs_281_Comparison" sheetId="2" state="visible" r:id="rId2"/>
    <sheet name="3_Designation_Gap_vs_281" sheetId="3" state="visible" r:id="rId3"/>
    <sheet name="4_Phase1_172_Vacancies" sheetId="4" state="visible" r:id="rId4"/>
    <sheet name="5_TL_Action_Items" sheetId="5" state="visible" r:id="rId5"/>
    <sheet name="6_Data_Sources" sheetId="6" state="visible" r:id="rId6"/>
  </sheets>
  <definedNames>
    <definedName name="_xlnm._FilterDatabase" localSheetId="2" hidden="1">'3_Designation_Gap_vs_281'!$A$4:$G$65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10"/>
    </font>
    <font>
      <name val="Calibri"/>
      <b val="1"/>
      <color rgb="002E75B6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 style="thin">
        <color rgb="00B0B0B0"/>
      </left>
      <right/>
      <top/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/>
      <bottom/>
      <diagonal/>
    </border>
    <border>
      <left style="thin">
        <color rgb="00B0B0B0"/>
      </left>
      <right/>
      <top/>
      <bottom style="thin">
        <color rgb="00B0B0B0"/>
      </bottom>
      <diagonal/>
    </border>
    <border>
      <left/>
      <right/>
      <top/>
      <bottom style="thin">
        <color rgb="00B0B0B0"/>
      </bottom>
      <diagonal/>
    </border>
    <border>
      <left/>
      <right style="thin">
        <color rgb="00B0B0B0"/>
      </right>
      <top/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/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6" fillId="8" borderId="1" pivotButton="0" quotePrefix="0" xfId="0"/>
    <xf numFmtId="0" fontId="0" fillId="8" borderId="1" pivotButton="0" quotePrefix="0" xfId="0"/>
    <xf numFmtId="0" fontId="7" fillId="0" borderId="0" pivotButton="0" quotePrefix="0" xfId="0"/>
    <xf numFmtId="0" fontId="5" fillId="0" borderId="1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5" borderId="1" pivotButton="0" quotePrefix="0" xfId="0"/>
    <xf numFmtId="0" fontId="0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5" borderId="0" applyAlignment="1" pivotButton="0" quotePrefix="0" xfId="0">
      <alignment wrapText="1"/>
    </xf>
    <xf numFmtId="0" fontId="0" fillId="0" borderId="9" pivotButton="0" quotePrefix="0" xfId="0"/>
    <xf numFmtId="0" fontId="0" fillId="0" borderId="10" pivotButton="0" quotePrefix="0" xfId="0"/>
    <xf numFmtId="0" fontId="3" fillId="0" borderId="11" pivotButton="0" quotePrefix="0" xfId="0"/>
    <xf numFmtId="0" fontId="5" fillId="0" borderId="11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Full Plan 281 — Required vs Filled by Team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'1_Executive_Summary'!C33</f>
            </strRef>
          </tx>
          <spPr>
            <a:ln>
              <a:prstDash val="solid"/>
            </a:ln>
          </spPr>
          <cat>
            <numRef>
              <f>'1_Executive_Summary'!$A$34:$A$41</f>
            </numRef>
          </cat>
          <val>
            <numRef>
              <f>'1_Executive_Summary'!$C$34:$C$41</f>
            </numRef>
          </val>
        </ser>
        <ser>
          <idx val="1"/>
          <order val="1"/>
          <tx>
            <strRef>
              <f>'1_Executive_Summary'!D33</f>
            </strRef>
          </tx>
          <spPr>
            <a:ln>
              <a:prstDash val="solid"/>
            </a:ln>
          </spPr>
          <cat>
            <numRef>
              <f>'1_Executive_Summary'!$A$34:$A$41</f>
            </numRef>
          </cat>
          <val>
            <numRef>
              <f>'1_Executive_Summary'!$D$34:$D$41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Team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Headcount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44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6" customWidth="1" min="3" max="3"/>
    <col width="14" customWidth="1" min="4" max="4"/>
    <col width="12" customWidth="1" min="5" max="5"/>
    <col width="10" customWidth="1" min="6" max="6"/>
    <col width="12" customWidth="1" min="7" max="7"/>
  </cols>
  <sheetData>
    <row r="1" ht="24" customHeight="1">
      <c r="A1" s="1" t="inlineStr">
        <is>
          <t>GVIAL BHOGAPURAM — PHASE-1 MANPOWER ANALYSIS REPORT</t>
        </is>
      </c>
    </row>
    <row r="2">
      <c r="A2" s="2" t="inlineStr">
        <is>
          <t>Prepared for Team Lead | Comparison: Phase-1 Immediate (172) vs Full Plan (281) | Generated: 11-Jul-2026</t>
        </is>
      </c>
    </row>
    <row r="4">
      <c r="A4" s="3" t="inlineStr">
        <is>
          <t>A. HEADLINE NUMBERS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%</t>
        </is>
      </c>
      <c r="D5" s="4" t="inlineStr">
        <is>
          <t>Meaning</t>
        </is>
      </c>
    </row>
    <row r="6">
      <c r="A6" s="5" t="inlineStr">
        <is>
          <t>Full Client Requirement (Plan 281)</t>
        </is>
      </c>
      <c r="B6" s="6" t="n">
        <v>281</v>
      </c>
      <c r="C6" s="6" t="inlineStr">
        <is>
          <t>100%</t>
        </is>
      </c>
      <c r="D6" s="5" t="inlineStr">
        <is>
          <t>CLR Quotation / Consolidated full manpower</t>
        </is>
      </c>
    </row>
    <row r="7">
      <c r="A7" s="5" t="inlineStr">
        <is>
          <t>Phase-1 Immediate Requirement (172)</t>
        </is>
      </c>
      <c r="B7" s="6" t="n">
        <v>172</v>
      </c>
      <c r="C7" s="6" t="inlineStr">
        <is>
          <t>61%</t>
        </is>
      </c>
      <c r="D7" s="5" t="inlineStr">
        <is>
          <t>Ph-1 proposal — deploy now</t>
        </is>
      </c>
    </row>
    <row r="8">
      <c r="A8" s="5" t="inlineStr">
        <is>
          <t>Deferred beyond Phase-1 (281 − 172)</t>
        </is>
      </c>
      <c r="B8" s="7" t="n">
        <v>109</v>
      </c>
      <c r="C8" s="6" t="inlineStr">
        <is>
          <t>39%</t>
        </is>
      </c>
      <c r="D8" s="5" t="inlineStr">
        <is>
          <t>To be planned in later phases</t>
        </is>
      </c>
    </row>
    <row r="9">
      <c r="A9" s="5" t="inlineStr">
        <is>
          <t>People in Daily Manpower Sheet</t>
        </is>
      </c>
      <c r="B9" s="6" t="n">
        <v>159</v>
      </c>
      <c r="C9" s="6" t="inlineStr">
        <is>
          <t>57% of 281</t>
        </is>
      </c>
      <c r="D9" s="5" t="inlineStr">
        <is>
          <t>Shortlisted / on rolls (Deployed + Will Join)</t>
        </is>
      </c>
    </row>
    <row r="10">
      <c r="A10" s="5" t="inlineStr">
        <is>
          <t xml:space="preserve">  └ Currently Deployed at Site</t>
        </is>
      </c>
      <c r="B10" s="8" t="n">
        <v>141</v>
      </c>
      <c r="C10" s="6" t="inlineStr">
        <is>
          <t>50% of 281</t>
        </is>
      </c>
      <c r="D10" s="5" t="inlineStr">
        <is>
          <t>Already working on site</t>
        </is>
      </c>
    </row>
    <row r="11">
      <c r="A11" s="5" t="inlineStr">
        <is>
          <t xml:space="preserve">  └ Will Join (pipeline)</t>
        </is>
      </c>
      <c r="B11" s="6" t="n">
        <v>18</v>
      </c>
      <c r="C11" s="6" t="inlineStr">
        <is>
          <t>6% of 281</t>
        </is>
      </c>
      <c r="D11" s="5" t="inlineStr">
        <is>
          <t>Offer/joining pending</t>
        </is>
      </c>
    </row>
    <row r="12">
      <c r="A12" s="5" t="inlineStr">
        <is>
          <t>Gap vs Full Plan 281 (281 − 159)</t>
        </is>
      </c>
      <c r="B12" s="7" t="n">
        <v>122</v>
      </c>
      <c r="C12" s="6" t="inlineStr">
        <is>
          <t>43%</t>
        </is>
      </c>
      <c r="D12" s="5" t="inlineStr">
        <is>
          <t>Still to hire / fill for full plan</t>
        </is>
      </c>
    </row>
    <row r="13">
      <c r="A13" s="5" t="inlineStr">
        <is>
          <t>Phase-1 Roster Slots (172)</t>
        </is>
      </c>
      <c r="B13" s="6" t="n">
        <v>172</v>
      </c>
      <c r="C13" s="6" t="inlineStr">
        <is>
          <t>100% of Ph-1</t>
        </is>
      </c>
      <c r="D13" s="5" t="inlineStr">
        <is>
          <t>Base roster positions created</t>
        </is>
      </c>
    </row>
    <row r="14">
      <c r="A14" s="5" t="inlineStr">
        <is>
          <t>Phase-1 Slots Named / Filled</t>
        </is>
      </c>
      <c r="B14" s="8" t="n">
        <v>91</v>
      </c>
      <c r="C14" s="6" t="inlineStr">
        <is>
          <t>53% of 172</t>
        </is>
      </c>
      <c r="D14" s="5" t="inlineStr">
        <is>
          <t>Name assigned in Deployment172</t>
        </is>
      </c>
    </row>
    <row r="15">
      <c r="A15" s="5" t="inlineStr">
        <is>
          <t>Phase-1 Slots Still Vacant</t>
        </is>
      </c>
      <c r="B15" s="7" t="n">
        <v>81</v>
      </c>
      <c r="C15" s="6" t="inlineStr">
        <is>
          <t>47% of 172</t>
        </is>
      </c>
      <c r="D15" s="5" t="inlineStr">
        <is>
          <t>Designation kept; Name/Phone empty</t>
        </is>
      </c>
    </row>
    <row r="17">
      <c r="A17" s="3" t="inlineStr">
        <is>
          <t>B. VERDICT FOR TL (ONE PARAGRAPH)</t>
        </is>
      </c>
    </row>
    <row r="18" ht="70" customHeight="1">
      <c r="A18" s="9" t="inlineStr">
        <is>
          <t>Phase-1 needs 172 people immediately against a full plan of 281 (109 deferred). Against the full 281 plan we currently have 159 people in the manpower list (141 deployed + 18 will join), leaving a 122-person gap to full plan. Against the Phase-1 172 roster, 91 slots are named (53%) and 81 slots remain vacant (47%). Biggest Phase-1 risks: ELV/SCADA is 0/10 filled; Admin leadership still missing Sr Managers / HSE / Materials; Mechanical has the largest vacant block. Against full 281, largest hiring gaps are Runway Team (−13), HVAC Technicians (−10), Civil Helpers (−8), Pump Operators (−8), and Electrical Shift Engineers (−7).</t>
        </is>
      </c>
      <c r="B18" s="34" t="n"/>
      <c r="C18" s="34" t="n"/>
      <c r="D18" s="34" t="n"/>
      <c r="E18" s="34" t="n"/>
      <c r="F18" s="34" t="n"/>
      <c r="G18" s="35" t="n"/>
    </row>
    <row r="19">
      <c r="A19" s="36" t="n"/>
      <c r="G19" s="37" t="n"/>
    </row>
    <row r="20">
      <c r="A20" s="38" t="n"/>
      <c r="B20" s="39" t="n"/>
      <c r="C20" s="39" t="n"/>
      <c r="D20" s="39" t="n"/>
      <c r="E20" s="39" t="n"/>
      <c r="F20" s="39" t="n"/>
      <c r="G20" s="40" t="n"/>
    </row>
    <row r="22">
      <c r="A22" s="3" t="inlineStr">
        <is>
          <t>C. SECTION SNAPSHOT — PHASE-1 (172)</t>
        </is>
      </c>
    </row>
    <row r="23">
      <c r="A23" s="4" t="inlineStr">
        <is>
          <t>Section</t>
        </is>
      </c>
      <c r="B23" s="4" t="inlineStr">
        <is>
          <t>Required (172)</t>
        </is>
      </c>
      <c r="C23" s="4" t="inlineStr">
        <is>
          <t>Filled (named)</t>
        </is>
      </c>
      <c r="D23" s="4" t="inlineStr">
        <is>
          <t>Vacant</t>
        </is>
      </c>
      <c r="E23" s="4" t="inlineStr">
        <is>
          <t>Fill %</t>
        </is>
      </c>
      <c r="F23" s="4" t="inlineStr">
        <is>
          <t>Status</t>
        </is>
      </c>
    </row>
    <row r="24">
      <c r="A24" s="5" t="inlineStr">
        <is>
          <t>ADMIN</t>
        </is>
      </c>
      <c r="B24" s="6" t="n">
        <v>8</v>
      </c>
      <c r="C24" s="6" t="n">
        <v>3</v>
      </c>
      <c r="D24" s="6" t="n">
        <v>5</v>
      </c>
      <c r="E24" s="6" t="inlineStr">
        <is>
          <t>38%</t>
        </is>
      </c>
      <c r="F24" s="7" t="inlineStr">
        <is>
          <t>Low</t>
        </is>
      </c>
    </row>
    <row r="25">
      <c r="A25" s="5" t="inlineStr">
        <is>
          <t>CIVIL</t>
        </is>
      </c>
      <c r="B25" s="6" t="n">
        <v>9</v>
      </c>
      <c r="C25" s="6" t="n">
        <v>9</v>
      </c>
      <c r="D25" s="6" t="n">
        <v>0</v>
      </c>
      <c r="E25" s="6" t="inlineStr">
        <is>
          <t>100%</t>
        </is>
      </c>
      <c r="F25" s="8" t="inlineStr">
        <is>
          <t>Complete</t>
        </is>
      </c>
    </row>
    <row r="26">
      <c r="A26" s="5" t="inlineStr">
        <is>
          <t>ELV / SCADA</t>
        </is>
      </c>
      <c r="B26" s="6" t="n">
        <v>10</v>
      </c>
      <c r="C26" s="6" t="n">
        <v>0</v>
      </c>
      <c r="D26" s="6" t="n">
        <v>10</v>
      </c>
      <c r="E26" s="6" t="inlineStr">
        <is>
          <t>0%</t>
        </is>
      </c>
      <c r="F26" s="10" t="inlineStr">
        <is>
          <t>Critical</t>
        </is>
      </c>
    </row>
    <row r="27">
      <c r="A27" s="5" t="inlineStr">
        <is>
          <t>ELECTRICAL</t>
        </is>
      </c>
      <c r="B27" s="6" t="n">
        <v>46</v>
      </c>
      <c r="C27" s="6" t="n">
        <v>31</v>
      </c>
      <c r="D27" s="6" t="n">
        <v>15</v>
      </c>
      <c r="E27" s="6" t="inlineStr">
        <is>
          <t>67%</t>
        </is>
      </c>
      <c r="F27" s="11" t="inlineStr">
        <is>
          <t>On Track</t>
        </is>
      </c>
    </row>
    <row r="28">
      <c r="A28" s="5" t="inlineStr">
        <is>
          <t>MECHANICAL</t>
        </is>
      </c>
      <c r="B28" s="6" t="n">
        <v>89</v>
      </c>
      <c r="C28" s="6" t="n">
        <v>44</v>
      </c>
      <c r="D28" s="6" t="n">
        <v>45</v>
      </c>
      <c r="E28" s="6" t="inlineStr">
        <is>
          <t>49%</t>
        </is>
      </c>
      <c r="F28" s="7" t="inlineStr">
        <is>
          <t>Low</t>
        </is>
      </c>
    </row>
    <row r="29">
      <c r="A29" s="5" t="inlineStr">
        <is>
          <t>TRANSPORT</t>
        </is>
      </c>
      <c r="B29" s="6" t="n">
        <v>10</v>
      </c>
      <c r="C29" s="6" t="n">
        <v>4</v>
      </c>
      <c r="D29" s="6" t="n">
        <v>6</v>
      </c>
      <c r="E29" s="6" t="inlineStr">
        <is>
          <t>40%</t>
        </is>
      </c>
      <c r="F29" s="7" t="inlineStr">
        <is>
          <t>Low</t>
        </is>
      </c>
    </row>
    <row r="30">
      <c r="A30" s="12" t="inlineStr">
        <is>
          <t>TOTAL</t>
        </is>
      </c>
      <c r="B30" s="13" t="n">
        <v>172</v>
      </c>
      <c r="C30" s="13" t="n">
        <v>91</v>
      </c>
      <c r="D30" s="13" t="n">
        <v>81</v>
      </c>
      <c r="E30" s="13" t="inlineStr">
        <is>
          <t>53%</t>
        </is>
      </c>
      <c r="F30" s="14" t="inlineStr">
        <is>
          <t>—</t>
        </is>
      </c>
    </row>
    <row r="32">
      <c r="A32" s="3" t="inlineStr">
        <is>
          <t>D. TEAM SNAPSHOT — FULL PLAN (281) vs CURRENT FILLED (DailySheet / DesignationSummary)</t>
        </is>
      </c>
    </row>
    <row r="33">
      <c r="A33" s="4" t="inlineStr">
        <is>
          <t>Team</t>
        </is>
      </c>
      <c r="B33" s="4" t="inlineStr">
        <is>
          <t>Description</t>
        </is>
      </c>
      <c r="C33" s="4" t="inlineStr">
        <is>
          <t>Required (281)</t>
        </is>
      </c>
      <c r="D33" s="4" t="inlineStr">
        <is>
          <t>Filled Now</t>
        </is>
      </c>
      <c r="E33" s="4" t="inlineStr">
        <is>
          <t>Gap</t>
        </is>
      </c>
      <c r="F33" s="4" t="inlineStr">
        <is>
          <t>Fill %</t>
        </is>
      </c>
      <c r="G33" s="4" t="inlineStr">
        <is>
          <t>Priority</t>
        </is>
      </c>
    </row>
    <row r="34">
      <c r="A34" s="6" t="inlineStr">
        <is>
          <t>A</t>
        </is>
      </c>
      <c r="B34" s="5" t="inlineStr">
        <is>
          <t>Site Management Team</t>
        </is>
      </c>
      <c r="C34" s="6" t="n">
        <v>8</v>
      </c>
      <c r="D34" s="6" t="n">
        <v>3</v>
      </c>
      <c r="E34" s="10" t="n">
        <v>5</v>
      </c>
      <c r="F34" s="6" t="inlineStr">
        <is>
          <t>38%</t>
        </is>
      </c>
      <c r="G34" s="7" t="inlineStr">
        <is>
          <t>MEDIUM</t>
        </is>
      </c>
    </row>
    <row r="35">
      <c r="A35" s="6" t="inlineStr">
        <is>
          <t>B</t>
        </is>
      </c>
      <c r="B35" s="5" t="inlineStr">
        <is>
          <t>SCADA &amp; Helpdesk Team</t>
        </is>
      </c>
      <c r="C35" s="6" t="n">
        <v>8</v>
      </c>
      <c r="D35" s="6" t="n">
        <v>2</v>
      </c>
      <c r="E35" s="10" t="n">
        <v>6</v>
      </c>
      <c r="F35" s="6" t="inlineStr">
        <is>
          <t>25%</t>
        </is>
      </c>
      <c r="G35" s="7" t="inlineStr">
        <is>
          <t>MEDIUM</t>
        </is>
      </c>
    </row>
    <row r="36">
      <c r="A36" s="6" t="inlineStr">
        <is>
          <t>C</t>
        </is>
      </c>
      <c r="B36" s="5" t="inlineStr">
        <is>
          <t>Mechanical &amp; HVAC Team</t>
        </is>
      </c>
      <c r="C36" s="6" t="n">
        <v>56</v>
      </c>
      <c r="D36" s="6" t="n">
        <v>33</v>
      </c>
      <c r="E36" s="7" t="n">
        <v>23</v>
      </c>
      <c r="F36" s="6" t="inlineStr">
        <is>
          <t>59%</t>
        </is>
      </c>
      <c r="G36" s="10" t="inlineStr">
        <is>
          <t>HIGH</t>
        </is>
      </c>
    </row>
    <row r="37">
      <c r="A37" s="6" t="inlineStr">
        <is>
          <t>D</t>
        </is>
      </c>
      <c r="B37" s="5" t="inlineStr">
        <is>
          <t>Electrical Team</t>
        </is>
      </c>
      <c r="C37" s="6" t="n">
        <v>71</v>
      </c>
      <c r="D37" s="6" t="n">
        <v>50</v>
      </c>
      <c r="E37" s="7" t="n">
        <v>21</v>
      </c>
      <c r="F37" s="6" t="inlineStr">
        <is>
          <t>70%</t>
        </is>
      </c>
      <c r="G37" s="10" t="inlineStr">
        <is>
          <t>HIGH</t>
        </is>
      </c>
    </row>
    <row r="38">
      <c r="A38" s="6" t="inlineStr">
        <is>
          <t>E</t>
        </is>
      </c>
      <c r="B38" s="5" t="inlineStr">
        <is>
          <t>Fire Team</t>
        </is>
      </c>
      <c r="C38" s="6" t="n">
        <v>17</v>
      </c>
      <c r="D38" s="6" t="n">
        <v>14</v>
      </c>
      <c r="E38" s="11" t="n">
        <v>3</v>
      </c>
      <c r="F38" s="6" t="inlineStr">
        <is>
          <t>81%</t>
        </is>
      </c>
      <c r="G38" s="6" t="inlineStr">
        <is>
          <t>LOW</t>
        </is>
      </c>
    </row>
    <row r="39">
      <c r="A39" s="6" t="inlineStr">
        <is>
          <t>F</t>
        </is>
      </c>
      <c r="B39" s="5" t="inlineStr">
        <is>
          <t>Civil Team</t>
        </is>
      </c>
      <c r="C39" s="6" t="n">
        <v>92</v>
      </c>
      <c r="D39" s="6" t="n">
        <v>41</v>
      </c>
      <c r="E39" s="10" t="n">
        <v>51</v>
      </c>
      <c r="F39" s="6" t="inlineStr">
        <is>
          <t>45%</t>
        </is>
      </c>
      <c r="G39" s="10" t="inlineStr">
        <is>
          <t>HIGH</t>
        </is>
      </c>
    </row>
    <row r="40">
      <c r="A40" s="6" t="inlineStr">
        <is>
          <t>G</t>
        </is>
      </c>
      <c r="B40" s="5" t="inlineStr">
        <is>
          <t>Motor Transport</t>
        </is>
      </c>
      <c r="C40" s="6" t="n">
        <v>18</v>
      </c>
      <c r="D40" s="6" t="n">
        <v>14</v>
      </c>
      <c r="E40" s="7" t="n">
        <v>4</v>
      </c>
      <c r="F40" s="6" t="inlineStr">
        <is>
          <t>78%</t>
        </is>
      </c>
      <c r="G40" s="6" t="inlineStr">
        <is>
          <t>LOW</t>
        </is>
      </c>
    </row>
    <row r="41">
      <c r="A41" s="6" t="inlineStr">
        <is>
          <t>H</t>
        </is>
      </c>
      <c r="B41" s="5" t="inlineStr">
        <is>
          <t>Landside Facilities</t>
        </is>
      </c>
      <c r="C41" s="6" t="n">
        <v>11</v>
      </c>
      <c r="D41" s="6" t="n">
        <v>2</v>
      </c>
      <c r="E41" s="10" t="n">
        <v>9</v>
      </c>
      <c r="F41" s="6" t="inlineStr">
        <is>
          <t>18%</t>
        </is>
      </c>
      <c r="G41" s="7" t="inlineStr">
        <is>
          <t>MEDIUM</t>
        </is>
      </c>
    </row>
    <row r="42">
      <c r="A42" s="15" t="inlineStr">
        <is>
          <t>TOTAL</t>
        </is>
      </c>
      <c r="B42" s="15" t="inlineStr"/>
      <c r="C42" s="15" t="n">
        <v>281</v>
      </c>
      <c r="D42" s="15" t="n">
        <v>159</v>
      </c>
      <c r="E42" s="15" t="n">
        <v>122</v>
      </c>
      <c r="F42" s="15" t="inlineStr">
        <is>
          <t>57%</t>
        </is>
      </c>
      <c r="G42" s="16" t="n"/>
    </row>
  </sheetData>
  <mergeCells count="6">
    <mergeCell ref="A32:G32"/>
    <mergeCell ref="A1:G1"/>
    <mergeCell ref="A17:G17"/>
    <mergeCell ref="A4:D4"/>
    <mergeCell ref="A2:G2"/>
    <mergeCell ref="A18:G2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20" customWidth="1" min="4" max="4"/>
    <col width="70" customWidth="1" min="5" max="5"/>
  </cols>
  <sheetData>
    <row r="1">
      <c r="A1" s="1" t="inlineStr">
        <is>
          <t>PHASE-1 (172) vs FULL REQUIREMENT (281) — STRUCTURE COMPARISON</t>
        </is>
      </c>
    </row>
    <row r="2">
      <c r="A2" s="17" t="inlineStr">
        <is>
          <t>Shows how the immediate Phase-1 ask sits inside the full CLR manpower plan.</t>
        </is>
      </c>
    </row>
    <row r="4">
      <c r="A4" s="3" t="inlineStr">
        <is>
          <t>Side-by-Side Totals</t>
        </is>
      </c>
    </row>
    <row r="5">
      <c r="A5" s="4" t="inlineStr">
        <is>
          <t>Bucket</t>
        </is>
      </c>
      <c r="B5" s="4" t="inlineStr">
        <is>
          <t>Phase-1 (172)</t>
        </is>
      </c>
      <c r="C5" s="4" t="inlineStr">
        <is>
          <t>Full Plan (281)</t>
        </is>
      </c>
      <c r="D5" s="4" t="inlineStr">
        <is>
          <t>Difference (absolute / positive)</t>
        </is>
      </c>
      <c r="E5" s="4" t="inlineStr">
        <is>
          <t>Notes</t>
        </is>
      </c>
    </row>
    <row r="6">
      <c r="A6" s="5" t="inlineStr">
        <is>
          <t>Site Management / Admin</t>
        </is>
      </c>
      <c r="B6" s="6" t="n">
        <v>8</v>
      </c>
      <c r="C6" s="6" t="n">
        <v>8</v>
      </c>
      <c r="D6" s="8" t="n">
        <v>0</v>
      </c>
      <c r="E6" s="18" t="inlineStr">
        <is>
          <t>Same headcount in Ph-1 and full plan</t>
        </is>
      </c>
    </row>
    <row r="7">
      <c r="A7" s="5" t="inlineStr">
        <is>
          <t>SCADA / ELV / Helpdesk</t>
        </is>
      </c>
      <c r="B7" s="6" t="n">
        <v>10</v>
      </c>
      <c r="C7" s="6" t="n">
        <v>8</v>
      </c>
      <c r="D7" s="11" t="n">
        <v>2</v>
      </c>
      <c r="E7" s="18" t="inlineStr">
        <is>
          <t>Ph-1 ELV scope (10) vs Plan B SCADA+Helpdesk (8) — naming differs; ELV floor techs are Ph-1 specific | Shown as positive Ph-1 excess vs 281 grouping.</t>
        </is>
      </c>
    </row>
    <row r="8">
      <c r="A8" s="5" t="inlineStr">
        <is>
          <t>Mechanical &amp; HVAC (+ related Ph-1 mech)</t>
        </is>
      </c>
      <c r="B8" s="6" t="n">
        <v>89</v>
      </c>
      <c r="C8" s="6" t="n">
        <v>56</v>
      </c>
      <c r="D8" s="11" t="n">
        <v>33</v>
      </c>
      <c r="E8" s="18" t="inlineStr">
        <is>
          <t>Ph-1 Mechanical 89 includes plumbing/pump/sewer/WTP items that sit under Civil (F) in 281 plan | Shown as positive Ph-1 excess vs 281 grouping.</t>
        </is>
      </c>
    </row>
    <row r="9">
      <c r="A9" s="5" t="inlineStr">
        <is>
          <t>Electrical</t>
        </is>
      </c>
      <c r="B9" s="6" t="n">
        <v>46</v>
      </c>
      <c r="C9" s="6" t="n">
        <v>71</v>
      </c>
      <c r="D9" s="7" t="n">
        <v>25</v>
      </c>
      <c r="E9" s="18" t="inlineStr">
        <is>
          <t>25 electrical roles deferred beyond Phase-1</t>
        </is>
      </c>
    </row>
    <row r="10">
      <c r="A10" s="5" t="inlineStr">
        <is>
          <t>Fire Team</t>
        </is>
      </c>
      <c r="B10" s="6" t="n">
        <v>0</v>
      </c>
      <c r="C10" s="6" t="n">
        <v>17</v>
      </c>
      <c r="D10" s="7" t="n">
        <v>17</v>
      </c>
      <c r="E10" s="18" t="inlineStr">
        <is>
          <t>Fire not in Ph-1 172 proposal total — appears in full 281</t>
        </is>
      </c>
    </row>
    <row r="11">
      <c r="A11" s="5" t="inlineStr">
        <is>
          <t>Civil (incl. runway/plumber/stores in 281)</t>
        </is>
      </c>
      <c r="B11" s="6" t="n">
        <v>9</v>
      </c>
      <c r="C11" s="6" t="n">
        <v>92</v>
      </c>
      <c r="D11" s="7" t="n">
        <v>83</v>
      </c>
      <c r="E11" s="18" t="inlineStr">
        <is>
          <t>Only 9 civil in Ph-1; runway/painter/helpers mostly deferred</t>
        </is>
      </c>
    </row>
    <row r="12">
      <c r="A12" s="5" t="inlineStr">
        <is>
          <t>Motor Transport</t>
        </is>
      </c>
      <c r="B12" s="6" t="n">
        <v>10</v>
      </c>
      <c r="C12" s="6" t="n">
        <v>18</v>
      </c>
      <c r="D12" s="7" t="n">
        <v>8</v>
      </c>
      <c r="E12" s="18" t="inlineStr">
        <is>
          <t>8 TMT roles deferred</t>
        </is>
      </c>
    </row>
    <row r="13">
      <c r="A13" s="5" t="inlineStr">
        <is>
          <t>Landside Facilities</t>
        </is>
      </c>
      <c r="B13" s="6" t="n">
        <v>0</v>
      </c>
      <c r="C13" s="6" t="n">
        <v>11</v>
      </c>
      <c r="D13" s="7" t="n">
        <v>11</v>
      </c>
      <c r="E13" s="18" t="inlineStr">
        <is>
          <t>Landside not in Ph-1 immediate (all 0 in plan172)</t>
        </is>
      </c>
    </row>
    <row r="14">
      <c r="A14" s="15" t="inlineStr">
        <is>
          <t>TOTAL</t>
        </is>
      </c>
      <c r="B14" s="15" t="n">
        <v>172</v>
      </c>
      <c r="C14" s="15" t="n">
        <v>281</v>
      </c>
      <c r="D14" s="15" t="n">
        <v>109</v>
      </c>
      <c r="E14" s="15" t="inlineStr">
        <is>
          <t>109 positions are beyond Phase-1 immediate scope</t>
        </is>
      </c>
    </row>
    <row r="16">
      <c r="A16" s="3" t="inlineStr">
        <is>
          <t>Key Insight</t>
        </is>
      </c>
    </row>
    <row r="17">
      <c r="A17" s="19" t="inlineStr">
        <is>
          <t>The 172 and 281 sheets use slightly different designation groupings. Ph-1 Mechanical (89) is broader than Plan281 Mechanical team (56) because Ph-1 folds in plumbing, pumps, sewer, WTP/STP and some utility roles that appear under Civil Team (F) in the 281 plan. Fire (17) and Landside (11) are in the full plan but not in the Ph-1 172 immediate proposal. Net deferred = 109 (281 − 172).</t>
        </is>
      </c>
    </row>
    <row r="18"/>
    <row r="19"/>
    <row r="21">
      <c r="A21" s="3" t="inlineStr">
        <is>
          <t>What to report to TL</t>
        </is>
      </c>
    </row>
    <row r="22">
      <c r="A22" t="inlineStr">
        <is>
          <t>1. Ask client confirmation that Phase-1 go-live target is 172 (not full 281).</t>
        </is>
      </c>
    </row>
    <row r="23">
      <c r="A23" t="inlineStr">
        <is>
          <t>2. Treat 109 as deferred backlog — do not mix into Phase-1 daily roster pressure.</t>
        </is>
      </c>
    </row>
    <row r="24">
      <c r="A24" t="inlineStr">
        <is>
          <t>3. Focus hiring this week on the 81 vacant Phase-1 slots (especially ELV 10 and Mechanical vacancies).</t>
        </is>
      </c>
    </row>
    <row r="25">
      <c r="A25" t="inlineStr">
        <is>
          <t>4. Separately track the 122 gap to full 281 for commercial/manpower planning.</t>
        </is>
      </c>
    </row>
  </sheetData>
  <mergeCells count="6">
    <mergeCell ref="A17:E19"/>
    <mergeCell ref="A24:E24"/>
    <mergeCell ref="A1:F1"/>
    <mergeCell ref="A25:E25"/>
    <mergeCell ref="A23:E23"/>
    <mergeCell ref="A22:E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DESIGNATION-WISE GAP ANALYSIS vs FULL PLAN (281)</t>
        </is>
      </c>
    </row>
    <row r="2">
      <c r="A2" s="17" t="inlineStr">
        <is>
          <t>Source: GMR_SUMMARY_MANPOWERSHEET → DesignationSummary + DailySheet (Filled Count = 159)</t>
        </is>
      </c>
    </row>
    <row r="4">
      <c r="A4" s="4" t="inlineStr">
        <is>
          <t>#</t>
        </is>
      </c>
      <c r="B4" s="4" t="inlineStr">
        <is>
          <t>Designation</t>
        </is>
      </c>
      <c r="C4" s="4" t="inlineStr">
        <is>
          <t>Team</t>
        </is>
      </c>
      <c r="D4" s="4" t="inlineStr">
        <is>
          <t>Required (281)</t>
        </is>
      </c>
      <c r="E4" s="4" t="inlineStr">
        <is>
          <t>Filled Now</t>
        </is>
      </c>
      <c r="F4" s="4" t="inlineStr">
        <is>
          <t>Shortfall</t>
        </is>
      </c>
      <c r="G4" s="4" t="inlineStr">
        <is>
          <t>Surplus</t>
        </is>
      </c>
      <c r="H4" s="4" t="inlineStr">
        <is>
          <t>Status</t>
        </is>
      </c>
    </row>
    <row r="5">
      <c r="A5" s="6" t="n">
        <v>1</v>
      </c>
      <c r="B5" s="5" t="inlineStr">
        <is>
          <t>Runway Team</t>
        </is>
      </c>
      <c r="C5" s="6" t="inlineStr">
        <is>
          <t>F</t>
        </is>
      </c>
      <c r="D5" s="6" t="n">
        <v>15</v>
      </c>
      <c r="E5" s="6" t="n">
        <v>2</v>
      </c>
      <c r="F5" s="10" t="n">
        <v>13</v>
      </c>
      <c r="G5" s="8" t="n">
        <v>0</v>
      </c>
      <c r="H5" s="24" t="inlineStr">
        <is>
          <t>SHORTFALL</t>
        </is>
      </c>
    </row>
    <row r="6">
      <c r="A6" s="6" t="n">
        <v>2</v>
      </c>
      <c r="B6" s="5" t="inlineStr">
        <is>
          <t>HVAC Technician Mechanical</t>
        </is>
      </c>
      <c r="C6" s="6" t="inlineStr">
        <is>
          <t>C</t>
        </is>
      </c>
      <c r="D6" s="6" t="n">
        <v>21</v>
      </c>
      <c r="E6" s="6" t="n">
        <v>11</v>
      </c>
      <c r="F6" s="10" t="n">
        <v>10</v>
      </c>
      <c r="G6" s="8" t="n">
        <v>0</v>
      </c>
      <c r="H6" s="24" t="inlineStr">
        <is>
          <t>SHORTFALL</t>
        </is>
      </c>
    </row>
    <row r="7">
      <c r="A7" s="6" t="n">
        <v>3</v>
      </c>
      <c r="B7" s="5" t="inlineStr">
        <is>
          <t>Civil Helper</t>
        </is>
      </c>
      <c r="C7" s="6" t="inlineStr">
        <is>
          <t>F</t>
        </is>
      </c>
      <c r="D7" s="6" t="n">
        <v>13</v>
      </c>
      <c r="E7" s="6" t="n">
        <v>5</v>
      </c>
      <c r="F7" s="10" t="n">
        <v>8</v>
      </c>
      <c r="G7" s="8" t="n">
        <v>0</v>
      </c>
      <c r="H7" s="24" t="inlineStr">
        <is>
          <t>SHORTFALL</t>
        </is>
      </c>
    </row>
    <row r="8">
      <c r="A8" s="6" t="n">
        <v>4</v>
      </c>
      <c r="B8" s="5" t="inlineStr">
        <is>
          <t>Pump Operator</t>
        </is>
      </c>
      <c r="C8" s="6" t="inlineStr">
        <is>
          <t>F</t>
        </is>
      </c>
      <c r="D8" s="6" t="n">
        <v>9</v>
      </c>
      <c r="E8" s="6" t="n">
        <v>1</v>
      </c>
      <c r="F8" s="10" t="n">
        <v>8</v>
      </c>
      <c r="G8" s="8" t="n">
        <v>0</v>
      </c>
      <c r="H8" s="24" t="inlineStr">
        <is>
          <t>SHORTFALL</t>
        </is>
      </c>
    </row>
    <row r="9">
      <c r="A9" s="6" t="n">
        <v>5</v>
      </c>
      <c r="B9" s="5" t="inlineStr">
        <is>
          <t>Shift Engineer (Electrical)</t>
        </is>
      </c>
      <c r="C9" s="6" t="inlineStr">
        <is>
          <t>D</t>
        </is>
      </c>
      <c r="D9" s="6" t="n">
        <v>8</v>
      </c>
      <c r="E9" s="6" t="n">
        <v>1</v>
      </c>
      <c r="F9" s="10" t="n">
        <v>7</v>
      </c>
      <c r="G9" s="8" t="n">
        <v>0</v>
      </c>
      <c r="H9" s="24" t="inlineStr">
        <is>
          <t>SHORTFALL</t>
        </is>
      </c>
    </row>
    <row r="10">
      <c r="A10" s="6" t="n">
        <v>6</v>
      </c>
      <c r="B10" s="5" t="inlineStr">
        <is>
          <t>Sewerman &amp; Drainage</t>
        </is>
      </c>
      <c r="C10" s="6" t="inlineStr">
        <is>
          <t>F</t>
        </is>
      </c>
      <c r="D10" s="6" t="n">
        <v>6</v>
      </c>
      <c r="E10" s="6" t="n">
        <v>0</v>
      </c>
      <c r="F10" s="10" t="n">
        <v>6</v>
      </c>
      <c r="G10" s="8" t="n">
        <v>0</v>
      </c>
      <c r="H10" s="24" t="inlineStr">
        <is>
          <t>SHORTFALL</t>
        </is>
      </c>
    </row>
    <row r="11">
      <c r="A11" s="6" t="n">
        <v>7</v>
      </c>
      <c r="B11" s="5" t="inlineStr">
        <is>
          <t>Sr. Technician Ops</t>
        </is>
      </c>
      <c r="C11" s="6" t="inlineStr">
        <is>
          <t>D</t>
        </is>
      </c>
      <c r="D11" s="6" t="n">
        <v>11</v>
      </c>
      <c r="E11" s="6" t="n">
        <v>6</v>
      </c>
      <c r="F11" s="10" t="n">
        <v>5</v>
      </c>
      <c r="G11" s="8" t="n">
        <v>0</v>
      </c>
      <c r="H11" s="24" t="inlineStr">
        <is>
          <t>SHORTFALL</t>
        </is>
      </c>
    </row>
    <row r="12">
      <c r="A12" s="6" t="n">
        <v>8</v>
      </c>
      <c r="B12" s="5" t="inlineStr">
        <is>
          <t>Desk Engineer (SCADA)</t>
        </is>
      </c>
      <c r="C12" s="6" t="inlineStr">
        <is>
          <t>B</t>
        </is>
      </c>
      <c r="D12" s="6" t="n">
        <v>4</v>
      </c>
      <c r="E12" s="6" t="n">
        <v>0</v>
      </c>
      <c r="F12" s="7" t="n">
        <v>4</v>
      </c>
      <c r="G12" s="8" t="n">
        <v>0</v>
      </c>
      <c r="H12" s="22" t="inlineStr">
        <is>
          <t>SHORTFALL</t>
        </is>
      </c>
    </row>
    <row r="13">
      <c r="A13" s="6" t="n">
        <v>9</v>
      </c>
      <c r="B13" s="5" t="inlineStr">
        <is>
          <t>MST</t>
        </is>
      </c>
      <c r="C13" s="6" t="inlineStr">
        <is>
          <t>D</t>
        </is>
      </c>
      <c r="D13" s="6" t="n">
        <v>4</v>
      </c>
      <c r="E13" s="6" t="n">
        <v>0</v>
      </c>
      <c r="F13" s="7" t="n">
        <v>4</v>
      </c>
      <c r="G13" s="8" t="n">
        <v>0</v>
      </c>
      <c r="H13" s="22" t="inlineStr">
        <is>
          <t>SHORTFALL</t>
        </is>
      </c>
    </row>
    <row r="14">
      <c r="A14" s="6" t="n">
        <v>10</v>
      </c>
      <c r="B14" s="5" t="inlineStr">
        <is>
          <t>Supervisor Civil</t>
        </is>
      </c>
      <c r="C14" s="6" t="inlineStr">
        <is>
          <t>F</t>
        </is>
      </c>
      <c r="D14" s="6" t="n">
        <v>7</v>
      </c>
      <c r="E14" s="6" t="n">
        <v>3</v>
      </c>
      <c r="F14" s="7" t="n">
        <v>4</v>
      </c>
      <c r="G14" s="8" t="n">
        <v>0</v>
      </c>
      <c r="H14" s="22" t="inlineStr">
        <is>
          <t>SHORTFALL</t>
        </is>
      </c>
    </row>
    <row r="15">
      <c r="A15" s="6" t="n">
        <v>11</v>
      </c>
      <c r="B15" s="5" t="inlineStr">
        <is>
          <t>Mason</t>
        </is>
      </c>
      <c r="C15" s="6" t="inlineStr">
        <is>
          <t>F</t>
        </is>
      </c>
      <c r="D15" s="6" t="n">
        <v>5</v>
      </c>
      <c r="E15" s="6" t="n">
        <v>1</v>
      </c>
      <c r="F15" s="7" t="n">
        <v>4</v>
      </c>
      <c r="G15" s="8" t="n">
        <v>0</v>
      </c>
      <c r="H15" s="22" t="inlineStr">
        <is>
          <t>SHORTFALL</t>
        </is>
      </c>
    </row>
    <row r="16">
      <c r="A16" s="6" t="n">
        <v>12</v>
      </c>
      <c r="B16" s="5" t="inlineStr">
        <is>
          <t>Electrician L</t>
        </is>
      </c>
      <c r="C16" s="6" t="inlineStr">
        <is>
          <t>H</t>
        </is>
      </c>
      <c r="D16" s="6" t="n">
        <v>4</v>
      </c>
      <c r="E16" s="6" t="n">
        <v>0</v>
      </c>
      <c r="F16" s="7" t="n">
        <v>4</v>
      </c>
      <c r="G16" s="8" t="n">
        <v>0</v>
      </c>
      <c r="H16" s="22" t="inlineStr">
        <is>
          <t>SHORTFALL</t>
        </is>
      </c>
    </row>
    <row r="17">
      <c r="A17" s="6" t="n">
        <v>13</v>
      </c>
      <c r="B17" s="5" t="inlineStr">
        <is>
          <t>Sr Technician (Mechanical)</t>
        </is>
      </c>
      <c r="C17" s="6" t="inlineStr">
        <is>
          <t>C</t>
        </is>
      </c>
      <c r="D17" s="6" t="n">
        <v>4</v>
      </c>
      <c r="E17" s="6" t="n">
        <v>1</v>
      </c>
      <c r="F17" s="7" t="n">
        <v>3</v>
      </c>
      <c r="G17" s="8" t="n">
        <v>0</v>
      </c>
      <c r="H17" s="22" t="inlineStr">
        <is>
          <t>SHORTFALL</t>
        </is>
      </c>
    </row>
    <row r="18">
      <c r="A18" s="6" t="n">
        <v>14</v>
      </c>
      <c r="B18" s="5" t="inlineStr">
        <is>
          <t>Help Desk Executive</t>
        </is>
      </c>
      <c r="C18" s="6" t="inlineStr">
        <is>
          <t>B</t>
        </is>
      </c>
      <c r="D18" s="6" t="n">
        <v>4</v>
      </c>
      <c r="E18" s="6" t="n">
        <v>2</v>
      </c>
      <c r="F18" s="7" t="n">
        <v>2</v>
      </c>
      <c r="G18" s="8" t="n">
        <v>0</v>
      </c>
      <c r="H18" s="22" t="inlineStr">
        <is>
          <t>SHORTFALL</t>
        </is>
      </c>
    </row>
    <row r="19">
      <c r="A19" s="6" t="n">
        <v>15</v>
      </c>
      <c r="B19" s="5" t="inlineStr">
        <is>
          <t>Shift Engineer (Mechanical)</t>
        </is>
      </c>
      <c r="C19" s="6" t="inlineStr">
        <is>
          <t>C</t>
        </is>
      </c>
      <c r="D19" s="6" t="n">
        <v>4</v>
      </c>
      <c r="E19" s="6" t="n">
        <v>2</v>
      </c>
      <c r="F19" s="7" t="n">
        <v>2</v>
      </c>
      <c r="G19" s="8" t="n">
        <v>0</v>
      </c>
      <c r="H19" s="22" t="inlineStr">
        <is>
          <t>SHORTFALL</t>
        </is>
      </c>
    </row>
    <row r="20">
      <c r="A20" s="6" t="n">
        <v>16</v>
      </c>
      <c r="B20" s="5" t="inlineStr">
        <is>
          <t>PM Technician HVAC</t>
        </is>
      </c>
      <c r="C20" s="6" t="inlineStr">
        <is>
          <t>C</t>
        </is>
      </c>
      <c r="D20" s="6" t="n">
        <v>2</v>
      </c>
      <c r="E20" s="6" t="n">
        <v>0</v>
      </c>
      <c r="F20" s="7" t="n">
        <v>2</v>
      </c>
      <c r="G20" s="8" t="n">
        <v>0</v>
      </c>
      <c r="H20" s="22" t="inlineStr">
        <is>
          <t>SHORTFALL</t>
        </is>
      </c>
    </row>
    <row r="21">
      <c r="A21" s="6" t="n">
        <v>17</v>
      </c>
      <c r="B21" s="5" t="inlineStr">
        <is>
          <t>Electrician - Ops</t>
        </is>
      </c>
      <c r="C21" s="6" t="inlineStr">
        <is>
          <t>D</t>
        </is>
      </c>
      <c r="D21" s="6" t="n">
        <v>28</v>
      </c>
      <c r="E21" s="6" t="n">
        <v>26</v>
      </c>
      <c r="F21" s="7" t="n">
        <v>2</v>
      </c>
      <c r="G21" s="8" t="n">
        <v>0</v>
      </c>
      <c r="H21" s="22" t="inlineStr">
        <is>
          <t>SHORTFALL</t>
        </is>
      </c>
    </row>
    <row r="22">
      <c r="A22" s="6" t="n">
        <v>18</v>
      </c>
      <c r="B22" s="5" t="inlineStr">
        <is>
          <t>Tech Associate Electrical</t>
        </is>
      </c>
      <c r="C22" s="6" t="inlineStr">
        <is>
          <t>D</t>
        </is>
      </c>
      <c r="D22" s="6" t="n">
        <v>14</v>
      </c>
      <c r="E22" s="6" t="n">
        <v>12</v>
      </c>
      <c r="F22" s="7" t="n">
        <v>2</v>
      </c>
      <c r="G22" s="8" t="n">
        <v>0</v>
      </c>
      <c r="H22" s="22" t="inlineStr">
        <is>
          <t>SHORTFALL</t>
        </is>
      </c>
    </row>
    <row r="23">
      <c r="A23" s="6" t="n">
        <v>19</v>
      </c>
      <c r="B23" s="5" t="inlineStr">
        <is>
          <t>Electrician PM</t>
        </is>
      </c>
      <c r="C23" s="6" t="inlineStr">
        <is>
          <t>D</t>
        </is>
      </c>
      <c r="D23" s="6" t="n">
        <v>2</v>
      </c>
      <c r="E23" s="6" t="n">
        <v>0</v>
      </c>
      <c r="F23" s="7" t="n">
        <v>2</v>
      </c>
      <c r="G23" s="8" t="n">
        <v>0</v>
      </c>
      <c r="H23" s="22" t="inlineStr">
        <is>
          <t>SHORTFALL</t>
        </is>
      </c>
    </row>
    <row r="24">
      <c r="A24" s="6" t="n">
        <v>20</v>
      </c>
      <c r="B24" s="5" t="inlineStr">
        <is>
          <t>Safety Officer</t>
        </is>
      </c>
      <c r="C24" s="6" t="inlineStr">
        <is>
          <t>E</t>
        </is>
      </c>
      <c r="D24" s="6" t="n">
        <v>2</v>
      </c>
      <c r="E24" s="6" t="n">
        <v>0</v>
      </c>
      <c r="F24" s="7" t="n">
        <v>2</v>
      </c>
      <c r="G24" s="8" t="n">
        <v>0</v>
      </c>
      <c r="H24" s="22" t="inlineStr">
        <is>
          <t>SHORTFALL</t>
        </is>
      </c>
    </row>
    <row r="25">
      <c r="A25" s="6" t="n">
        <v>21</v>
      </c>
      <c r="B25" s="5" t="inlineStr">
        <is>
          <t>Civil Engineer</t>
        </is>
      </c>
      <c r="C25" s="6" t="inlineStr">
        <is>
          <t>F</t>
        </is>
      </c>
      <c r="D25" s="6" t="n">
        <v>4</v>
      </c>
      <c r="E25" s="6" t="n">
        <v>2</v>
      </c>
      <c r="F25" s="7" t="n">
        <v>2</v>
      </c>
      <c r="G25" s="8" t="n">
        <v>0</v>
      </c>
      <c r="H25" s="22" t="inlineStr">
        <is>
          <t>SHORTFALL</t>
        </is>
      </c>
    </row>
    <row r="26">
      <c r="A26" s="6" t="n">
        <v>22</v>
      </c>
      <c r="B26" s="5" t="inlineStr">
        <is>
          <t>Carpenter</t>
        </is>
      </c>
      <c r="C26" s="6" t="inlineStr">
        <is>
          <t>F</t>
        </is>
      </c>
      <c r="D26" s="6" t="n">
        <v>5</v>
      </c>
      <c r="E26" s="6" t="n">
        <v>3</v>
      </c>
      <c r="F26" s="7" t="n">
        <v>2</v>
      </c>
      <c r="G26" s="8" t="n">
        <v>0</v>
      </c>
      <c r="H26" s="22" t="inlineStr">
        <is>
          <t>SHORTFALL</t>
        </is>
      </c>
    </row>
    <row r="27">
      <c r="A27" s="6" t="n">
        <v>23</v>
      </c>
      <c r="B27" s="5" t="inlineStr">
        <is>
          <t>Plumber</t>
        </is>
      </c>
      <c r="C27" s="6" t="inlineStr">
        <is>
          <t>F</t>
        </is>
      </c>
      <c r="D27" s="6" t="n">
        <v>14</v>
      </c>
      <c r="E27" s="6" t="n">
        <v>12</v>
      </c>
      <c r="F27" s="7" t="n">
        <v>2</v>
      </c>
      <c r="G27" s="8" t="n">
        <v>0</v>
      </c>
      <c r="H27" s="22" t="inlineStr">
        <is>
          <t>SHORTFALL</t>
        </is>
      </c>
    </row>
    <row r="28">
      <c r="A28" s="6" t="n">
        <v>24</v>
      </c>
      <c r="B28" s="5" t="inlineStr">
        <is>
          <t>Motor Electrician</t>
        </is>
      </c>
      <c r="C28" s="6" t="inlineStr">
        <is>
          <t>G</t>
        </is>
      </c>
      <c r="D28" s="6" t="n">
        <v>2</v>
      </c>
      <c r="E28" s="6" t="n">
        <v>0</v>
      </c>
      <c r="F28" s="7" t="n">
        <v>2</v>
      </c>
      <c r="G28" s="8" t="n">
        <v>0</v>
      </c>
      <c r="H28" s="22" t="inlineStr">
        <is>
          <t>SHORTFALL</t>
        </is>
      </c>
    </row>
    <row r="29">
      <c r="A29" s="6" t="n">
        <v>25</v>
      </c>
      <c r="B29" s="5" t="inlineStr">
        <is>
          <t>Tyre Technician</t>
        </is>
      </c>
      <c r="C29" s="6" t="inlineStr">
        <is>
          <t>G</t>
        </is>
      </c>
      <c r="D29" s="6" t="n">
        <v>2</v>
      </c>
      <c r="E29" s="6" t="n">
        <v>0</v>
      </c>
      <c r="F29" s="7" t="n">
        <v>2</v>
      </c>
      <c r="G29" s="8" t="n">
        <v>0</v>
      </c>
      <c r="H29" s="22" t="inlineStr">
        <is>
          <t>SHORTFALL</t>
        </is>
      </c>
    </row>
    <row r="30">
      <c r="A30" s="6" t="n">
        <v>26</v>
      </c>
      <c r="B30" s="5" t="inlineStr">
        <is>
          <t>Supervisor / Engineer (Landside)</t>
        </is>
      </c>
      <c r="C30" s="6" t="inlineStr">
        <is>
          <t>H</t>
        </is>
      </c>
      <c r="D30" s="6" t="n">
        <v>2</v>
      </c>
      <c r="E30" s="6" t="n">
        <v>0</v>
      </c>
      <c r="F30" s="7" t="n">
        <v>2</v>
      </c>
      <c r="G30" s="8" t="n">
        <v>0</v>
      </c>
      <c r="H30" s="22" t="inlineStr">
        <is>
          <t>SHORTFALL</t>
        </is>
      </c>
    </row>
    <row r="31">
      <c r="A31" s="6" t="n">
        <v>27</v>
      </c>
      <c r="B31" s="5" t="inlineStr">
        <is>
          <t>Sewerman &amp; Drainage L</t>
        </is>
      </c>
      <c r="C31" s="6" t="inlineStr">
        <is>
          <t>H</t>
        </is>
      </c>
      <c r="D31" s="6" t="n">
        <v>2</v>
      </c>
      <c r="E31" s="6" t="n">
        <v>0</v>
      </c>
      <c r="F31" s="7" t="n">
        <v>2</v>
      </c>
      <c r="G31" s="8" t="n">
        <v>0</v>
      </c>
      <c r="H31" s="22" t="inlineStr">
        <is>
          <t>SHORTFALL</t>
        </is>
      </c>
    </row>
    <row r="32">
      <c r="A32" s="6" t="n">
        <v>28</v>
      </c>
      <c r="B32" s="5" t="inlineStr">
        <is>
          <t>Helper L</t>
        </is>
      </c>
      <c r="C32" s="6" t="inlineStr">
        <is>
          <t>H</t>
        </is>
      </c>
      <c r="D32" s="6" t="n">
        <v>3</v>
      </c>
      <c r="E32" s="6" t="n">
        <v>1</v>
      </c>
      <c r="F32" s="7" t="n">
        <v>2</v>
      </c>
      <c r="G32" s="8" t="n">
        <v>0</v>
      </c>
      <c r="H32" s="22" t="inlineStr">
        <is>
          <t>SHORTFALL</t>
        </is>
      </c>
    </row>
    <row r="33">
      <c r="A33" s="6" t="n">
        <v>29</v>
      </c>
      <c r="B33" s="5" t="inlineStr">
        <is>
          <t>Sr. Manager (Mechanical)</t>
        </is>
      </c>
      <c r="C33" s="6" t="inlineStr">
        <is>
          <t>A</t>
        </is>
      </c>
      <c r="D33" s="6" t="n">
        <v>1</v>
      </c>
      <c r="E33" s="6" t="n">
        <v>0</v>
      </c>
      <c r="F33" s="7" t="n">
        <v>1</v>
      </c>
      <c r="G33" s="8" t="n">
        <v>0</v>
      </c>
      <c r="H33" s="22" t="inlineStr">
        <is>
          <t>SHORTFALL</t>
        </is>
      </c>
    </row>
    <row r="34">
      <c r="A34" s="6" t="n">
        <v>30</v>
      </c>
      <c r="B34" s="5" t="inlineStr">
        <is>
          <t>Sr. Manager (Electrical)</t>
        </is>
      </c>
      <c r="C34" s="6" t="inlineStr">
        <is>
          <t>A</t>
        </is>
      </c>
      <c r="D34" s="6" t="n">
        <v>1</v>
      </c>
      <c r="E34" s="6" t="n">
        <v>0</v>
      </c>
      <c r="F34" s="7" t="n">
        <v>1</v>
      </c>
      <c r="G34" s="8" t="n">
        <v>0</v>
      </c>
      <c r="H34" s="22" t="inlineStr">
        <is>
          <t>SHORTFALL</t>
        </is>
      </c>
    </row>
    <row r="35">
      <c r="A35" s="6" t="n">
        <v>31</v>
      </c>
      <c r="B35" s="5" t="inlineStr">
        <is>
          <t>Sr. Manager (Civil)</t>
        </is>
      </c>
      <c r="C35" s="6" t="inlineStr">
        <is>
          <t>A</t>
        </is>
      </c>
      <c r="D35" s="6" t="n">
        <v>1</v>
      </c>
      <c r="E35" s="6" t="n">
        <v>0</v>
      </c>
      <c r="F35" s="7" t="n">
        <v>1</v>
      </c>
      <c r="G35" s="8" t="n">
        <v>0</v>
      </c>
      <c r="H35" s="22" t="inlineStr">
        <is>
          <t>SHORTFALL</t>
        </is>
      </c>
    </row>
    <row r="36">
      <c r="A36" s="6" t="n">
        <v>32</v>
      </c>
      <c r="B36" s="5" t="inlineStr">
        <is>
          <t>HSE &amp; Compliance Manager</t>
        </is>
      </c>
      <c r="C36" s="6" t="inlineStr">
        <is>
          <t>A</t>
        </is>
      </c>
      <c r="D36" s="6" t="n">
        <v>1</v>
      </c>
      <c r="E36" s="6" t="n">
        <v>0</v>
      </c>
      <c r="F36" s="7" t="n">
        <v>1</v>
      </c>
      <c r="G36" s="8" t="n">
        <v>0</v>
      </c>
      <c r="H36" s="22" t="inlineStr">
        <is>
          <t>SHORTFALL</t>
        </is>
      </c>
    </row>
    <row r="37">
      <c r="A37" s="6" t="n">
        <v>33</v>
      </c>
      <c r="B37" s="5" t="inlineStr">
        <is>
          <t>Materials Manager</t>
        </is>
      </c>
      <c r="C37" s="6" t="inlineStr">
        <is>
          <t>A</t>
        </is>
      </c>
      <c r="D37" s="6" t="n">
        <v>1</v>
      </c>
      <c r="E37" s="6" t="n">
        <v>0</v>
      </c>
      <c r="F37" s="7" t="n">
        <v>1</v>
      </c>
      <c r="G37" s="8" t="n">
        <v>0</v>
      </c>
      <c r="H37" s="22" t="inlineStr">
        <is>
          <t>SHORTFALL</t>
        </is>
      </c>
    </row>
    <row r="38">
      <c r="A38" s="6" t="n">
        <v>34</v>
      </c>
      <c r="B38" s="5" t="inlineStr">
        <is>
          <t>Asst. Manager (Mechanical)</t>
        </is>
      </c>
      <c r="C38" s="6" t="inlineStr">
        <is>
          <t>C</t>
        </is>
      </c>
      <c r="D38" s="6" t="n">
        <v>1</v>
      </c>
      <c r="E38" s="6" t="n">
        <v>0</v>
      </c>
      <c r="F38" s="7" t="n">
        <v>1</v>
      </c>
      <c r="G38" s="8" t="n">
        <v>0</v>
      </c>
      <c r="H38" s="22" t="inlineStr">
        <is>
          <t>SHORTFALL</t>
        </is>
      </c>
    </row>
    <row r="39">
      <c r="A39" s="6" t="n">
        <v>35</v>
      </c>
      <c r="B39" s="5" t="inlineStr">
        <is>
          <t>Tech Associate Mech.</t>
        </is>
      </c>
      <c r="C39" s="6" t="inlineStr">
        <is>
          <t>C</t>
        </is>
      </c>
      <c r="D39" s="6" t="n">
        <v>11</v>
      </c>
      <c r="E39" s="6" t="n">
        <v>10</v>
      </c>
      <c r="F39" s="7" t="n">
        <v>1</v>
      </c>
      <c r="G39" s="8" t="n">
        <v>0</v>
      </c>
      <c r="H39" s="22" t="inlineStr">
        <is>
          <t>SHORTFALL</t>
        </is>
      </c>
    </row>
    <row r="40">
      <c r="A40" s="6" t="n">
        <v>36</v>
      </c>
      <c r="B40" s="5" t="inlineStr">
        <is>
          <t>WTP/STP Chemist</t>
        </is>
      </c>
      <c r="C40" s="6" t="inlineStr">
        <is>
          <t>C</t>
        </is>
      </c>
      <c r="D40" s="6" t="n">
        <v>1</v>
      </c>
      <c r="E40" s="6" t="n">
        <v>0</v>
      </c>
      <c r="F40" s="7" t="n">
        <v>1</v>
      </c>
      <c r="G40" s="8" t="n">
        <v>0</v>
      </c>
      <c r="H40" s="22" t="inlineStr">
        <is>
          <t>SHORTFALL</t>
        </is>
      </c>
    </row>
    <row r="41">
      <c r="A41" s="6" t="n">
        <v>37</v>
      </c>
      <c r="B41" s="5" t="inlineStr">
        <is>
          <t>WTP Operator</t>
        </is>
      </c>
      <c r="C41" s="6" t="inlineStr">
        <is>
          <t>C</t>
        </is>
      </c>
      <c r="D41" s="6" t="n">
        <v>4</v>
      </c>
      <c r="E41" s="6" t="n">
        <v>3</v>
      </c>
      <c r="F41" s="7" t="n">
        <v>1</v>
      </c>
      <c r="G41" s="8" t="n">
        <v>0</v>
      </c>
      <c r="H41" s="22" t="inlineStr">
        <is>
          <t>SHORTFALL</t>
        </is>
      </c>
    </row>
    <row r="42">
      <c r="A42" s="6" t="n">
        <v>38</v>
      </c>
      <c r="B42" s="5" t="inlineStr">
        <is>
          <t>STP Operator</t>
        </is>
      </c>
      <c r="C42" s="6" t="inlineStr">
        <is>
          <t>C</t>
        </is>
      </c>
      <c r="D42" s="6" t="n">
        <v>3</v>
      </c>
      <c r="E42" s="6" t="n">
        <v>2</v>
      </c>
      <c r="F42" s="7" t="n">
        <v>1</v>
      </c>
      <c r="G42" s="8" t="n">
        <v>0</v>
      </c>
      <c r="H42" s="22" t="inlineStr">
        <is>
          <t>SHORTFALL</t>
        </is>
      </c>
    </row>
    <row r="43">
      <c r="A43" s="6" t="n">
        <v>39</v>
      </c>
      <c r="B43" s="5" t="inlineStr">
        <is>
          <t>WTP/STP Helper</t>
        </is>
      </c>
      <c r="C43" s="6" t="inlineStr">
        <is>
          <t>C</t>
        </is>
      </c>
      <c r="D43" s="6" t="n">
        <v>4</v>
      </c>
      <c r="E43" s="6" t="n">
        <v>3</v>
      </c>
      <c r="F43" s="7" t="n">
        <v>1</v>
      </c>
      <c r="G43" s="8" t="n">
        <v>0</v>
      </c>
      <c r="H43" s="22" t="inlineStr">
        <is>
          <t>SHORTFALL</t>
        </is>
      </c>
    </row>
    <row r="44">
      <c r="A44" s="6" t="n">
        <v>40</v>
      </c>
      <c r="B44" s="5" t="inlineStr">
        <is>
          <t>Engineer PM</t>
        </is>
      </c>
      <c r="C44" s="6" t="inlineStr">
        <is>
          <t>D</t>
        </is>
      </c>
      <c r="D44" s="6" t="n">
        <v>1</v>
      </c>
      <c r="E44" s="6" t="n">
        <v>0</v>
      </c>
      <c r="F44" s="7" t="n">
        <v>1</v>
      </c>
      <c r="G44" s="8" t="n">
        <v>0</v>
      </c>
      <c r="H44" s="22" t="inlineStr">
        <is>
          <t>SHORTFALL</t>
        </is>
      </c>
    </row>
    <row r="45">
      <c r="A45" s="6" t="n">
        <v>41</v>
      </c>
      <c r="B45" s="5" t="inlineStr">
        <is>
          <t>Sr Technician PM</t>
        </is>
      </c>
      <c r="C45" s="6" t="inlineStr">
        <is>
          <t>D</t>
        </is>
      </c>
      <c r="D45" s="6" t="n">
        <v>1</v>
      </c>
      <c r="E45" s="6" t="n">
        <v>0</v>
      </c>
      <c r="F45" s="7" t="n">
        <v>1</v>
      </c>
      <c r="G45" s="8" t="n">
        <v>0</v>
      </c>
      <c r="H45" s="22" t="inlineStr">
        <is>
          <t>SHORTFALL</t>
        </is>
      </c>
    </row>
    <row r="46">
      <c r="A46" s="6" t="n">
        <v>42</v>
      </c>
      <c r="B46" s="5" t="inlineStr">
        <is>
          <t>Solar Technician</t>
        </is>
      </c>
      <c r="C46" s="6" t="inlineStr">
        <is>
          <t>D</t>
        </is>
      </c>
      <c r="D46" s="6" t="n">
        <v>1</v>
      </c>
      <c r="E46" s="6" t="n">
        <v>0</v>
      </c>
      <c r="F46" s="7" t="n">
        <v>1</v>
      </c>
      <c r="G46" s="8" t="n">
        <v>0</v>
      </c>
      <c r="H46" s="22" t="inlineStr">
        <is>
          <t>SHORTFALL</t>
        </is>
      </c>
    </row>
    <row r="47">
      <c r="A47" s="6" t="n">
        <v>43</v>
      </c>
      <c r="B47" s="5" t="inlineStr">
        <is>
          <t>Supervisor (Fire)</t>
        </is>
      </c>
      <c r="C47" s="6" t="inlineStr">
        <is>
          <t>E</t>
        </is>
      </c>
      <c r="D47" s="6" t="n">
        <v>4</v>
      </c>
      <c r="E47" s="6" t="n">
        <v>3</v>
      </c>
      <c r="F47" s="7" t="n">
        <v>1</v>
      </c>
      <c r="G47" s="8" t="n">
        <v>0</v>
      </c>
      <c r="H47" s="22" t="inlineStr">
        <is>
          <t>SHORTFALL</t>
        </is>
      </c>
    </row>
    <row r="48">
      <c r="A48" s="6" t="n">
        <v>44</v>
      </c>
      <c r="B48" s="5" t="inlineStr">
        <is>
          <t>Painter</t>
        </is>
      </c>
      <c r="C48" s="6" t="inlineStr">
        <is>
          <t>F</t>
        </is>
      </c>
      <c r="D48" s="6" t="n">
        <v>6</v>
      </c>
      <c r="E48" s="6" t="n">
        <v>5</v>
      </c>
      <c r="F48" s="7" t="n">
        <v>1</v>
      </c>
      <c r="G48" s="8" t="n">
        <v>0</v>
      </c>
      <c r="H48" s="22" t="inlineStr">
        <is>
          <t>SHORTFALL</t>
        </is>
      </c>
    </row>
    <row r="49">
      <c r="A49" s="6" t="n">
        <v>45</v>
      </c>
      <c r="B49" s="5" t="inlineStr">
        <is>
          <t>Motor Technician</t>
        </is>
      </c>
      <c r="C49" s="6" t="inlineStr">
        <is>
          <t>G</t>
        </is>
      </c>
      <c r="D49" s="6" t="n">
        <v>2</v>
      </c>
      <c r="E49" s="6" t="n">
        <v>1</v>
      </c>
      <c r="F49" s="7" t="n">
        <v>1</v>
      </c>
      <c r="G49" s="8" t="n">
        <v>0</v>
      </c>
      <c r="H49" s="22" t="inlineStr">
        <is>
          <t>SHORTFALL</t>
        </is>
      </c>
    </row>
    <row r="50">
      <c r="A50" s="6" t="n">
        <v>46</v>
      </c>
      <c r="B50" s="5" t="inlineStr">
        <is>
          <t>Plumber L</t>
        </is>
      </c>
      <c r="C50" s="6" t="inlineStr">
        <is>
          <t>H</t>
        </is>
      </c>
      <c r="D50" s="6" t="n">
        <v>1</v>
      </c>
      <c r="E50" s="6" t="n">
        <v>0</v>
      </c>
      <c r="F50" s="7" t="n">
        <v>1</v>
      </c>
      <c r="G50" s="8" t="n">
        <v>0</v>
      </c>
      <c r="H50" s="22" t="inlineStr">
        <is>
          <t>SHORTFALL</t>
        </is>
      </c>
    </row>
    <row r="51">
      <c r="A51" s="6" t="n">
        <v>47</v>
      </c>
      <c r="B51" s="5" t="inlineStr">
        <is>
          <t>Driver (CLR Vehicles)</t>
        </is>
      </c>
      <c r="C51" s="6" t="inlineStr">
        <is>
          <t>G</t>
        </is>
      </c>
      <c r="D51" s="6" t="n">
        <v>10</v>
      </c>
      <c r="E51" s="6" t="n">
        <v>9</v>
      </c>
      <c r="F51" s="7" t="n">
        <v>1</v>
      </c>
      <c r="G51" s="8" t="n">
        <v>0</v>
      </c>
      <c r="H51" s="22" t="inlineStr">
        <is>
          <t>SHORTFALL</t>
        </is>
      </c>
    </row>
    <row r="52">
      <c r="A52" s="6" t="n">
        <v>48</v>
      </c>
      <c r="B52" s="5" t="inlineStr">
        <is>
          <t>Site Head (GM)</t>
        </is>
      </c>
      <c r="C52" s="6" t="inlineStr">
        <is>
          <t>A</t>
        </is>
      </c>
      <c r="D52" s="6" t="n">
        <v>1</v>
      </c>
      <c r="E52" s="6" t="n">
        <v>1</v>
      </c>
      <c r="F52" s="8" t="n">
        <v>0</v>
      </c>
      <c r="G52" s="8" t="n">
        <v>0</v>
      </c>
      <c r="H52" s="23" t="inlineStr">
        <is>
          <t>MATCHED</t>
        </is>
      </c>
    </row>
    <row r="53">
      <c r="A53" s="6" t="n">
        <v>49</v>
      </c>
      <c r="B53" s="5" t="inlineStr">
        <is>
          <t>HR Manager</t>
        </is>
      </c>
      <c r="C53" s="6" t="inlineStr">
        <is>
          <t>A</t>
        </is>
      </c>
      <c r="D53" s="6" t="n">
        <v>1</v>
      </c>
      <c r="E53" s="6" t="n">
        <v>1</v>
      </c>
      <c r="F53" s="8" t="n">
        <v>0</v>
      </c>
      <c r="G53" s="8" t="n">
        <v>0</v>
      </c>
      <c r="H53" s="23" t="inlineStr">
        <is>
          <t>MATCHED</t>
        </is>
      </c>
    </row>
    <row r="54">
      <c r="A54" s="6" t="n">
        <v>50</v>
      </c>
      <c r="B54" s="5" t="inlineStr">
        <is>
          <t>MIS Executive</t>
        </is>
      </c>
      <c r="C54" s="6" t="inlineStr">
        <is>
          <t>A</t>
        </is>
      </c>
      <c r="D54" s="6" t="n">
        <v>1</v>
      </c>
      <c r="E54" s="6" t="n">
        <v>1</v>
      </c>
      <c r="F54" s="8" t="n">
        <v>0</v>
      </c>
      <c r="G54" s="8" t="n">
        <v>0</v>
      </c>
      <c r="H54" s="23" t="inlineStr">
        <is>
          <t>MATCHED</t>
        </is>
      </c>
    </row>
    <row r="55">
      <c r="A55" s="6" t="n">
        <v>51</v>
      </c>
      <c r="B55" s="5" t="inlineStr">
        <is>
          <t>Fitter Mechanical</t>
        </is>
      </c>
      <c r="C55" s="6" t="inlineStr">
        <is>
          <t>C</t>
        </is>
      </c>
      <c r="D55" s="6" t="n">
        <v>1</v>
      </c>
      <c r="E55" s="6" t="n">
        <v>1</v>
      </c>
      <c r="F55" s="8" t="n">
        <v>0</v>
      </c>
      <c r="G55" s="8" t="n">
        <v>0</v>
      </c>
      <c r="H55" s="23" t="inlineStr">
        <is>
          <t>MATCHED</t>
        </is>
      </c>
    </row>
    <row r="56">
      <c r="A56" s="6" t="n">
        <v>52</v>
      </c>
      <c r="B56" s="5" t="inlineStr">
        <is>
          <t>Asst. Manager (Electrical)</t>
        </is>
      </c>
      <c r="C56" s="6" t="inlineStr">
        <is>
          <t>D</t>
        </is>
      </c>
      <c r="D56" s="6" t="n">
        <v>1</v>
      </c>
      <c r="E56" s="6" t="n">
        <v>1</v>
      </c>
      <c r="F56" s="8" t="n">
        <v>0</v>
      </c>
      <c r="G56" s="8" t="n">
        <v>0</v>
      </c>
      <c r="H56" s="23" t="inlineStr">
        <is>
          <t>MATCHED</t>
        </is>
      </c>
    </row>
    <row r="57">
      <c r="A57" s="6" t="n">
        <v>53</v>
      </c>
      <c r="B57" s="5" t="inlineStr">
        <is>
          <t>Fire Technician</t>
        </is>
      </c>
      <c r="C57" s="6" t="inlineStr">
        <is>
          <t>E</t>
        </is>
      </c>
      <c r="D57" s="6" t="n">
        <v>11</v>
      </c>
      <c r="E57" s="6" t="n">
        <v>11</v>
      </c>
      <c r="F57" s="8" t="n">
        <v>0</v>
      </c>
      <c r="G57" s="8" t="n">
        <v>0</v>
      </c>
      <c r="H57" s="23" t="inlineStr">
        <is>
          <t>MATCHED</t>
        </is>
      </c>
    </row>
    <row r="58">
      <c r="A58" s="6" t="n">
        <v>54</v>
      </c>
      <c r="B58" s="5" t="inlineStr">
        <is>
          <t>Welder</t>
        </is>
      </c>
      <c r="C58" s="6" t="inlineStr">
        <is>
          <t>F</t>
        </is>
      </c>
      <c r="D58" s="6" t="n">
        <v>1</v>
      </c>
      <c r="E58" s="6" t="n">
        <v>1</v>
      </c>
      <c r="F58" s="8" t="n">
        <v>0</v>
      </c>
      <c r="G58" s="8" t="n">
        <v>0</v>
      </c>
      <c r="H58" s="23" t="inlineStr">
        <is>
          <t>MATCHED</t>
        </is>
      </c>
    </row>
    <row r="59">
      <c r="A59" s="6" t="n">
        <v>55</v>
      </c>
      <c r="B59" s="5" t="inlineStr">
        <is>
          <t>Civil Fitter</t>
        </is>
      </c>
      <c r="C59" s="6" t="inlineStr">
        <is>
          <t>F</t>
        </is>
      </c>
      <c r="D59" s="6" t="n">
        <v>1</v>
      </c>
      <c r="E59" s="6" t="n">
        <v>1</v>
      </c>
      <c r="F59" s="8" t="n">
        <v>0</v>
      </c>
      <c r="G59" s="8" t="n">
        <v>0</v>
      </c>
      <c r="H59" s="23" t="inlineStr">
        <is>
          <t>MATCHED</t>
        </is>
      </c>
    </row>
    <row r="60">
      <c r="A60" s="6" t="n">
        <v>56</v>
      </c>
      <c r="B60" s="5" t="inlineStr">
        <is>
          <t>Stores Executive</t>
        </is>
      </c>
      <c r="C60" s="6" t="inlineStr">
        <is>
          <t>F</t>
        </is>
      </c>
      <c r="D60" s="6" t="n">
        <v>5</v>
      </c>
      <c r="E60" s="6" t="n">
        <v>5</v>
      </c>
      <c r="F60" s="8" t="n">
        <v>0</v>
      </c>
      <c r="G60" s="8" t="n">
        <v>0</v>
      </c>
      <c r="H60" s="23" t="inlineStr">
        <is>
          <t>MATCHED</t>
        </is>
      </c>
    </row>
    <row r="61">
      <c r="A61" s="6" t="n">
        <v>57</v>
      </c>
      <c r="B61" s="5" t="inlineStr">
        <is>
          <t>MT Supervisor</t>
        </is>
      </c>
      <c r="C61" s="6" t="inlineStr">
        <is>
          <t>G</t>
        </is>
      </c>
      <c r="D61" s="6" t="n">
        <v>1</v>
      </c>
      <c r="E61" s="6" t="n">
        <v>1</v>
      </c>
      <c r="F61" s="8" t="n">
        <v>0</v>
      </c>
      <c r="G61" s="8" t="n">
        <v>0</v>
      </c>
      <c r="H61" s="23" t="inlineStr">
        <is>
          <t>MATCHED</t>
        </is>
      </c>
    </row>
    <row r="62">
      <c r="A62" s="6" t="n">
        <v>58</v>
      </c>
      <c r="B62" s="5" t="inlineStr">
        <is>
          <t>Technician (HVAC) L</t>
        </is>
      </c>
      <c r="C62" s="6" t="inlineStr">
        <is>
          <t>H</t>
        </is>
      </c>
      <c r="D62" s="6" t="n">
        <v>1</v>
      </c>
      <c r="E62" s="6" t="n">
        <v>1</v>
      </c>
      <c r="F62" s="8" t="n">
        <v>0</v>
      </c>
      <c r="G62" s="8" t="n">
        <v>0</v>
      </c>
      <c r="H62" s="23" t="inlineStr">
        <is>
          <t>MATCHED</t>
        </is>
      </c>
    </row>
    <row r="63">
      <c r="A63" s="6" t="n">
        <v>59</v>
      </c>
      <c r="B63" s="5" t="inlineStr">
        <is>
          <t>Sr Electrician OPS</t>
        </is>
      </c>
      <c r="C63" s="6" t="inlineStr">
        <is>
          <t>D</t>
        </is>
      </c>
      <c r="D63" s="6" t="inlineStr">
        <is>
          <t>—</t>
        </is>
      </c>
      <c r="E63" s="6" t="n">
        <v>1</v>
      </c>
      <c r="F63" s="8" t="n">
        <v>0</v>
      </c>
      <c r="G63" s="20" t="n">
        <v>1</v>
      </c>
      <c r="H63" s="32" t="inlineStr">
        <is>
          <t>SURPLUS</t>
        </is>
      </c>
    </row>
    <row r="64">
      <c r="A64" s="6" t="n">
        <v>60</v>
      </c>
      <c r="B64" s="5" t="inlineStr">
        <is>
          <t>Boom Lift Operator</t>
        </is>
      </c>
      <c r="C64" s="6" t="inlineStr">
        <is>
          <t>G</t>
        </is>
      </c>
      <c r="D64" s="6" t="inlineStr">
        <is>
          <t>—</t>
        </is>
      </c>
      <c r="E64" s="6" t="n">
        <v>3</v>
      </c>
      <c r="F64" s="8" t="n">
        <v>0</v>
      </c>
      <c r="G64" s="20" t="n">
        <v>3</v>
      </c>
      <c r="H64" s="32" t="inlineStr">
        <is>
          <t>SURPLUS</t>
        </is>
      </c>
    </row>
    <row r="65">
      <c r="A65" s="6" t="n">
        <v>61</v>
      </c>
      <c r="B65" s="5" t="inlineStr">
        <is>
          <t>Technician</t>
        </is>
      </c>
      <c r="C65" s="6" t="inlineStr">
        <is>
          <t>D</t>
        </is>
      </c>
      <c r="D65" s="6" t="inlineStr">
        <is>
          <t>—</t>
        </is>
      </c>
      <c r="E65" s="6" t="n">
        <v>3</v>
      </c>
      <c r="F65" s="8" t="n">
        <v>0</v>
      </c>
      <c r="G65" s="20" t="n">
        <v>3</v>
      </c>
      <c r="H65" s="32" t="inlineStr">
        <is>
          <t>SURPLUS</t>
        </is>
      </c>
    </row>
    <row r="66">
      <c r="A66" s="15" t="inlineStr"/>
      <c r="B66" s="15" t="inlineStr">
        <is>
          <t>TOTAL</t>
        </is>
      </c>
      <c r="C66" s="15" t="n"/>
      <c r="D66" s="15" t="n">
        <v>281</v>
      </c>
      <c r="E66" s="15" t="n">
        <v>159</v>
      </c>
      <c r="F66" s="15" t="n">
        <v>129</v>
      </c>
      <c r="G66" s="15" t="n">
        <v>7</v>
      </c>
      <c r="H66" s="15" t="inlineStr">
        <is>
          <t>—</t>
        </is>
      </c>
    </row>
  </sheetData>
  <autoFilter ref="A4:G65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22" customWidth="1" min="4" max="4"/>
    <col width="16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PHASE-1 172 ROSTER — REQUIRED / FILLED / VACANT (CROSS-CHECKED)</t>
        </is>
      </c>
    </row>
    <row r="2">
      <c r="A2" s="2" t="inlineStr">
        <is>
          <t>Cross-check: Source Summary172 showed Vacant=82 because TRANSPORT vacant was typed as 7 (must be 10−4=6). Correct from Deployment172: Required 172 | Filled 91 | Vacant 81. All values are ≥ 0.</t>
        </is>
      </c>
    </row>
    <row r="4">
      <c r="A4" s="3" t="inlineStr">
        <is>
          <t>A. SECTION SUMMARY</t>
        </is>
      </c>
    </row>
    <row r="5">
      <c r="A5" s="4" t="inlineStr">
        <is>
          <t>Section</t>
        </is>
      </c>
      <c r="B5" s="4" t="inlineStr">
        <is>
          <t>Required Count</t>
        </is>
      </c>
      <c r="C5" s="4" t="inlineStr">
        <is>
          <t>Filled Count</t>
        </is>
      </c>
      <c r="D5" s="4" t="inlineStr">
        <is>
          <t>Vacant</t>
        </is>
      </c>
      <c r="E5" s="4" t="inlineStr">
        <is>
          <t>Fill %</t>
        </is>
      </c>
      <c r="F5" s="4" t="inlineStr">
        <is>
          <t>Status</t>
        </is>
      </c>
    </row>
    <row r="6">
      <c r="A6" s="5" t="inlineStr">
        <is>
          <t>ADMIN</t>
        </is>
      </c>
      <c r="B6" s="6" t="n">
        <v>8</v>
      </c>
      <c r="C6" s="6" t="n">
        <v>3</v>
      </c>
      <c r="D6" s="7" t="n">
        <v>5</v>
      </c>
      <c r="E6" s="6" t="inlineStr">
        <is>
          <t>38%</t>
        </is>
      </c>
      <c r="F6" s="7" t="inlineStr">
        <is>
          <t>Low</t>
        </is>
      </c>
    </row>
    <row r="7">
      <c r="A7" s="5" t="inlineStr">
        <is>
          <t>CIVIL</t>
        </is>
      </c>
      <c r="B7" s="6" t="n">
        <v>9</v>
      </c>
      <c r="C7" s="6" t="n">
        <v>9</v>
      </c>
      <c r="D7" s="8" t="n">
        <v>0</v>
      </c>
      <c r="E7" s="6" t="inlineStr">
        <is>
          <t>100%</t>
        </is>
      </c>
      <c r="F7" s="8" t="inlineStr">
        <is>
          <t>Complete</t>
        </is>
      </c>
    </row>
    <row r="8">
      <c r="A8" s="5" t="inlineStr">
        <is>
          <t>ELV / SCADA</t>
        </is>
      </c>
      <c r="B8" s="6" t="n">
        <v>10</v>
      </c>
      <c r="C8" s="6" t="n">
        <v>0</v>
      </c>
      <c r="D8" s="10" t="n">
        <v>10</v>
      </c>
      <c r="E8" s="6" t="inlineStr">
        <is>
          <t>0%</t>
        </is>
      </c>
      <c r="F8" s="10" t="inlineStr">
        <is>
          <t>Critical</t>
        </is>
      </c>
    </row>
    <row r="9">
      <c r="A9" s="5" t="inlineStr">
        <is>
          <t>ELECTRICAL</t>
        </is>
      </c>
      <c r="B9" s="6" t="n">
        <v>46</v>
      </c>
      <c r="C9" s="6" t="n">
        <v>31</v>
      </c>
      <c r="D9" s="7" t="n">
        <v>15</v>
      </c>
      <c r="E9" s="6" t="inlineStr">
        <is>
          <t>67%</t>
        </is>
      </c>
      <c r="F9" s="11" t="inlineStr">
        <is>
          <t>On Track</t>
        </is>
      </c>
    </row>
    <row r="10">
      <c r="A10" s="5" t="inlineStr">
        <is>
          <t>MECHANICAL</t>
        </is>
      </c>
      <c r="B10" s="6" t="n">
        <v>89</v>
      </c>
      <c r="C10" s="6" t="n">
        <v>44</v>
      </c>
      <c r="D10" s="7" t="n">
        <v>45</v>
      </c>
      <c r="E10" s="6" t="inlineStr">
        <is>
          <t>49%</t>
        </is>
      </c>
      <c r="F10" s="7" t="inlineStr">
        <is>
          <t>Low</t>
        </is>
      </c>
    </row>
    <row r="11">
      <c r="A11" s="5" t="inlineStr">
        <is>
          <t>TRANSPORT</t>
        </is>
      </c>
      <c r="B11" s="6" t="n">
        <v>10</v>
      </c>
      <c r="C11" s="6" t="n">
        <v>4</v>
      </c>
      <c r="D11" s="7" t="n">
        <v>6</v>
      </c>
      <c r="E11" s="6" t="inlineStr">
        <is>
          <t>40%</t>
        </is>
      </c>
      <c r="F11" s="7" t="inlineStr">
        <is>
          <t>Low</t>
        </is>
      </c>
    </row>
    <row r="12">
      <c r="A12" s="12" t="inlineStr">
        <is>
          <t>TOTAL</t>
        </is>
      </c>
      <c r="B12" s="13" t="n">
        <v>172</v>
      </c>
      <c r="C12" s="13" t="n">
        <v>91</v>
      </c>
      <c r="D12" s="13" t="n">
        <v>81</v>
      </c>
      <c r="E12" s="13" t="inlineStr">
        <is>
          <t>53%</t>
        </is>
      </c>
      <c r="F12" s="13" t="inlineStr">
        <is>
          <t>—</t>
        </is>
      </c>
    </row>
    <row r="14">
      <c r="A14" s="44" t="inlineStr">
        <is>
          <t>B. DESIGNATION DETAIL — Required Count / Filled Count / Vacant Count</t>
        </is>
      </c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</row>
    <row r="15">
      <c r="A15" s="4" t="inlineStr">
        <is>
          <t>#</t>
        </is>
      </c>
      <c r="B15" s="4" t="inlineStr">
        <is>
          <t>Section</t>
        </is>
      </c>
      <c r="C15" s="4" t="inlineStr">
        <is>
          <t>Designation</t>
        </is>
      </c>
      <c r="D15" s="4" t="inlineStr">
        <is>
          <t>Location / Area</t>
        </is>
      </c>
      <c r="E15" s="4" t="inlineStr">
        <is>
          <t>Required Count</t>
        </is>
      </c>
      <c r="F15" s="4" t="inlineStr">
        <is>
          <t>Filled Count</t>
        </is>
      </c>
      <c r="G15" s="4" t="inlineStr">
        <is>
          <t>Vacant Count</t>
        </is>
      </c>
      <c r="H15" s="4" t="inlineStr">
        <is>
          <t>Hiring Priority</t>
        </is>
      </c>
      <c r="I15" s="45" t="n"/>
      <c r="J15" s="45" t="n"/>
      <c r="K15" s="45" t="n"/>
    </row>
    <row r="16">
      <c r="A16" s="6" t="n">
        <v>1</v>
      </c>
      <c r="B16" s="5" t="inlineStr">
        <is>
          <t>ELV / SCADA</t>
        </is>
      </c>
      <c r="C16" s="5" t="inlineStr">
        <is>
          <t>Floor Technicians</t>
        </is>
      </c>
      <c r="D16" s="5" t="inlineStr">
        <is>
          <t>PTB</t>
        </is>
      </c>
      <c r="E16" s="6" t="n">
        <v>6</v>
      </c>
      <c r="F16" s="6" t="n">
        <v>0</v>
      </c>
      <c r="G16" s="10" t="n">
        <v>6</v>
      </c>
      <c r="H16" s="10" t="inlineStr">
        <is>
          <t>CRITICAL</t>
        </is>
      </c>
      <c r="I16" s="45" t="n"/>
      <c r="J16" s="45" t="n"/>
      <c r="K16" s="45" t="n"/>
    </row>
    <row r="17">
      <c r="A17" s="6" t="n">
        <v>2</v>
      </c>
      <c r="B17" s="5" t="inlineStr">
        <is>
          <t>ELV / SCADA</t>
        </is>
      </c>
      <c r="C17" s="5" t="inlineStr">
        <is>
          <t>Supervisior</t>
        </is>
      </c>
      <c r="D17" s="5" t="inlineStr">
        <is>
          <t>PTB</t>
        </is>
      </c>
      <c r="E17" s="6" t="n">
        <v>2</v>
      </c>
      <c r="F17" s="6" t="n">
        <v>0</v>
      </c>
      <c r="G17" s="10" t="n">
        <v>2</v>
      </c>
      <c r="H17" s="10" t="inlineStr">
        <is>
          <t>CRITICAL</t>
        </is>
      </c>
      <c r="I17" s="45" t="n"/>
      <c r="J17" s="45" t="n"/>
      <c r="K17" s="45" t="n"/>
    </row>
    <row r="18">
      <c r="A18" s="6" t="n">
        <v>3</v>
      </c>
      <c r="B18" s="5" t="inlineStr">
        <is>
          <t>ELV / SCADA</t>
        </is>
      </c>
      <c r="C18" s="5" t="inlineStr">
        <is>
          <t>Engineers</t>
        </is>
      </c>
      <c r="D18" s="5" t="inlineStr">
        <is>
          <t>PTB</t>
        </is>
      </c>
      <c r="E18" s="6" t="n">
        <v>1</v>
      </c>
      <c r="F18" s="6" t="n">
        <v>0</v>
      </c>
      <c r="G18" s="10" t="n">
        <v>1</v>
      </c>
      <c r="H18" s="10" t="inlineStr">
        <is>
          <t>CRITICAL</t>
        </is>
      </c>
      <c r="I18" s="45" t="n"/>
      <c r="J18" s="45" t="n"/>
      <c r="K18" s="45" t="n"/>
    </row>
    <row r="19">
      <c r="A19" s="6" t="n">
        <v>4</v>
      </c>
      <c r="B19" s="5" t="inlineStr">
        <is>
          <t>ELV / SCADA</t>
        </is>
      </c>
      <c r="C19" s="5" t="inlineStr">
        <is>
          <t>Supervisior</t>
        </is>
      </c>
      <c r="D19" s="5" t="inlineStr">
        <is>
          <t>Airside</t>
        </is>
      </c>
      <c r="E19" s="6" t="n">
        <v>1</v>
      </c>
      <c r="F19" s="6" t="n">
        <v>0</v>
      </c>
      <c r="G19" s="10" t="n">
        <v>1</v>
      </c>
      <c r="H19" s="10" t="inlineStr">
        <is>
          <t>CRITICAL</t>
        </is>
      </c>
      <c r="I19" s="45" t="n"/>
      <c r="J19" s="45" t="n"/>
      <c r="K19" s="45" t="n"/>
    </row>
    <row r="20">
      <c r="A20" s="6" t="n">
        <v>5</v>
      </c>
      <c r="B20" s="5" t="inlineStr">
        <is>
          <t>ADMIN</t>
        </is>
      </c>
      <c r="C20" s="5" t="inlineStr">
        <is>
          <t>HSE &amp; Compliance Manager</t>
        </is>
      </c>
      <c r="D20" s="5" t="inlineStr">
        <is>
          <t>ADMIN</t>
        </is>
      </c>
      <c r="E20" s="6" t="n">
        <v>1</v>
      </c>
      <c r="F20" s="6" t="n">
        <v>0</v>
      </c>
      <c r="G20" s="10" t="n">
        <v>1</v>
      </c>
      <c r="H20" s="10" t="inlineStr">
        <is>
          <t>CRITICAL</t>
        </is>
      </c>
      <c r="I20" s="45" t="n"/>
      <c r="J20" s="45" t="n"/>
      <c r="K20" s="45" t="n"/>
    </row>
    <row r="21">
      <c r="A21" s="6" t="n">
        <v>6</v>
      </c>
      <c r="B21" s="5" t="inlineStr">
        <is>
          <t>ADMIN</t>
        </is>
      </c>
      <c r="C21" s="5" t="inlineStr">
        <is>
          <t>Materials Manager</t>
        </is>
      </c>
      <c r="D21" s="5" t="inlineStr">
        <is>
          <t>ADMIN</t>
        </is>
      </c>
      <c r="E21" s="6" t="n">
        <v>1</v>
      </c>
      <c r="F21" s="6" t="n">
        <v>0</v>
      </c>
      <c r="G21" s="10" t="n">
        <v>1</v>
      </c>
      <c r="H21" s="10" t="inlineStr">
        <is>
          <t>CRITICAL</t>
        </is>
      </c>
      <c r="I21" s="45" t="n"/>
      <c r="J21" s="45" t="n"/>
      <c r="K21" s="45" t="n"/>
    </row>
    <row r="22">
      <c r="A22" s="6" t="n">
        <v>7</v>
      </c>
      <c r="B22" s="5" t="inlineStr">
        <is>
          <t>ADMIN</t>
        </is>
      </c>
      <c r="C22" s="5" t="inlineStr">
        <is>
          <t>Sr. Manager (Civil)</t>
        </is>
      </c>
      <c r="D22" s="5" t="inlineStr">
        <is>
          <t>ADMIN</t>
        </is>
      </c>
      <c r="E22" s="6" t="n">
        <v>1</v>
      </c>
      <c r="F22" s="6" t="n">
        <v>0</v>
      </c>
      <c r="G22" s="10" t="n">
        <v>1</v>
      </c>
      <c r="H22" s="10" t="inlineStr">
        <is>
          <t>CRITICAL</t>
        </is>
      </c>
      <c r="I22" s="45" t="n"/>
      <c r="J22" s="45" t="n"/>
      <c r="K22" s="45" t="n"/>
    </row>
    <row r="23">
      <c r="A23" s="6" t="n">
        <v>8</v>
      </c>
      <c r="B23" s="5" t="inlineStr">
        <is>
          <t>ADMIN</t>
        </is>
      </c>
      <c r="C23" s="5" t="inlineStr">
        <is>
          <t>Sr. Manager (Electrical)</t>
        </is>
      </c>
      <c r="D23" s="5" t="inlineStr">
        <is>
          <t>ADMIN</t>
        </is>
      </c>
      <c r="E23" s="6" t="n">
        <v>1</v>
      </c>
      <c r="F23" s="6" t="n">
        <v>0</v>
      </c>
      <c r="G23" s="10" t="n">
        <v>1</v>
      </c>
      <c r="H23" s="10" t="inlineStr">
        <is>
          <t>CRITICAL</t>
        </is>
      </c>
      <c r="I23" s="45" t="n"/>
      <c r="J23" s="45" t="n"/>
      <c r="K23" s="45" t="n"/>
    </row>
    <row r="24">
      <c r="A24" s="6" t="n">
        <v>9</v>
      </c>
      <c r="B24" s="5" t="inlineStr">
        <is>
          <t>ADMIN</t>
        </is>
      </c>
      <c r="C24" s="5" t="inlineStr">
        <is>
          <t>Sr. Manager (Mechanical)</t>
        </is>
      </c>
      <c r="D24" s="5" t="inlineStr">
        <is>
          <t>ADMIN</t>
        </is>
      </c>
      <c r="E24" s="6" t="n">
        <v>1</v>
      </c>
      <c r="F24" s="6" t="n">
        <v>0</v>
      </c>
      <c r="G24" s="10" t="n">
        <v>1</v>
      </c>
      <c r="H24" s="10" t="inlineStr">
        <is>
          <t>CRITICAL</t>
        </is>
      </c>
      <c r="I24" s="45" t="n"/>
      <c r="J24" s="45" t="n"/>
      <c r="K24" s="45" t="n"/>
    </row>
    <row r="25">
      <c r="A25" s="6" t="n">
        <v>10</v>
      </c>
      <c r="B25" s="5" t="inlineStr">
        <is>
          <t>ELECTRICAL</t>
        </is>
      </c>
      <c r="C25" s="5" t="inlineStr">
        <is>
          <t>MRSS Operators (Sr Technician)</t>
        </is>
      </c>
      <c r="D25" s="5" t="inlineStr">
        <is>
          <t>MRSS</t>
        </is>
      </c>
      <c r="E25" s="6" t="n">
        <v>4</v>
      </c>
      <c r="F25" s="6" t="n">
        <v>0</v>
      </c>
      <c r="G25" s="10" t="n">
        <v>4</v>
      </c>
      <c r="H25" s="11" t="inlineStr">
        <is>
          <t>HIGH</t>
        </is>
      </c>
      <c r="I25" s="45" t="n"/>
      <c r="J25" s="45" t="n"/>
      <c r="K25" s="45" t="n"/>
    </row>
    <row r="26">
      <c r="A26" s="6" t="n">
        <v>11</v>
      </c>
      <c r="B26" s="5" t="inlineStr">
        <is>
          <t>ELECTRICAL</t>
        </is>
      </c>
      <c r="C26" s="5" t="inlineStr">
        <is>
          <t>Technicians (ELE -Ops)</t>
        </is>
      </c>
      <c r="D26" s="5" t="inlineStr">
        <is>
          <t>Admin building</t>
        </is>
      </c>
      <c r="E26" s="6" t="n">
        <v>4</v>
      </c>
      <c r="F26" s="6" t="n">
        <v>0</v>
      </c>
      <c r="G26" s="10" t="n">
        <v>4</v>
      </c>
      <c r="H26" s="11" t="inlineStr">
        <is>
          <t>HIGH</t>
        </is>
      </c>
      <c r="I26" s="45" t="n"/>
      <c r="J26" s="45" t="n"/>
      <c r="K26" s="45" t="n"/>
    </row>
    <row r="27">
      <c r="A27" s="6" t="n">
        <v>12</v>
      </c>
      <c r="B27" s="5" t="inlineStr">
        <is>
          <t>ELECTRICAL</t>
        </is>
      </c>
      <c r="C27" s="5" t="inlineStr">
        <is>
          <t>Technicians (MST)</t>
        </is>
      </c>
      <c r="D27" s="5" t="inlineStr">
        <is>
          <t>Airside</t>
        </is>
      </c>
      <c r="E27" s="6" t="n">
        <v>4</v>
      </c>
      <c r="F27" s="6" t="n">
        <v>0</v>
      </c>
      <c r="G27" s="10" t="n">
        <v>4</v>
      </c>
      <c r="H27" s="11" t="inlineStr">
        <is>
          <t>HIGH</t>
        </is>
      </c>
      <c r="I27" s="45" t="n"/>
      <c r="J27" s="45" t="n"/>
      <c r="K27" s="45" t="n"/>
    </row>
    <row r="28">
      <c r="A28" s="6" t="n">
        <v>13</v>
      </c>
      <c r="B28" s="5" t="inlineStr">
        <is>
          <t>ELECTRICAL</t>
        </is>
      </c>
      <c r="C28" s="5" t="inlineStr">
        <is>
          <t>Shift Engineers</t>
        </is>
      </c>
      <c r="D28" s="5" t="inlineStr">
        <is>
          <t>Overall ALS</t>
        </is>
      </c>
      <c r="E28" s="6" t="n">
        <v>2</v>
      </c>
      <c r="F28" s="6" t="n">
        <v>0</v>
      </c>
      <c r="G28" s="10" t="n">
        <v>2</v>
      </c>
      <c r="H28" s="11" t="inlineStr">
        <is>
          <t>HIGH</t>
        </is>
      </c>
      <c r="I28" s="45" t="n"/>
      <c r="J28" s="45" t="n"/>
      <c r="K28" s="45" t="n"/>
    </row>
    <row r="29">
      <c r="A29" s="6" t="n">
        <v>14</v>
      </c>
      <c r="B29" s="5" t="inlineStr">
        <is>
          <t>ELECTRICAL</t>
        </is>
      </c>
      <c r="C29" s="5" t="inlineStr">
        <is>
          <t>Shift Engineers</t>
        </is>
      </c>
      <c r="D29" s="5" t="inlineStr">
        <is>
          <t>PTB</t>
        </is>
      </c>
      <c r="E29" s="6" t="n">
        <v>2</v>
      </c>
      <c r="F29" s="6" t="n">
        <v>1</v>
      </c>
      <c r="G29" s="7" t="n">
        <v>1</v>
      </c>
      <c r="H29" s="11" t="inlineStr">
        <is>
          <t>LOW</t>
        </is>
      </c>
      <c r="I29" s="45" t="n"/>
      <c r="J29" s="45" t="n"/>
      <c r="K29" s="45" t="n"/>
    </row>
    <row r="30">
      <c r="A30" s="6" t="n">
        <v>15</v>
      </c>
      <c r="B30" s="5" t="inlineStr">
        <is>
          <t>MECHANICAL</t>
        </is>
      </c>
      <c r="C30" s="5" t="inlineStr">
        <is>
          <t>Sewerman &amp; Drainage</t>
        </is>
      </c>
      <c r="D30" s="5" t="inlineStr">
        <is>
          <t>ALS QRT</t>
        </is>
      </c>
      <c r="E30" s="6" t="n">
        <v>6</v>
      </c>
      <c r="F30" s="6" t="n">
        <v>0</v>
      </c>
      <c r="G30" s="10" t="n">
        <v>6</v>
      </c>
      <c r="H30" s="11" t="inlineStr">
        <is>
          <t>HIGH</t>
        </is>
      </c>
      <c r="I30" s="45" t="n"/>
      <c r="J30" s="45" t="n"/>
      <c r="K30" s="45" t="n"/>
    </row>
    <row r="31">
      <c r="A31" s="6" t="n">
        <v>16</v>
      </c>
      <c r="B31" s="5" t="inlineStr">
        <is>
          <t>MECHANICAL</t>
        </is>
      </c>
      <c r="C31" s="5" t="inlineStr">
        <is>
          <t>HVAC Sr Technicians (chiller plant)</t>
        </is>
      </c>
      <c r="D31" s="5" t="inlineStr">
        <is>
          <t>Chiller plant</t>
        </is>
      </c>
      <c r="E31" s="6" t="n">
        <v>4</v>
      </c>
      <c r="F31" s="6" t="n">
        <v>0</v>
      </c>
      <c r="G31" s="10" t="n">
        <v>4</v>
      </c>
      <c r="H31" s="11" t="inlineStr">
        <is>
          <t>HIGH</t>
        </is>
      </c>
      <c r="I31" s="45" t="n"/>
      <c r="J31" s="45" t="n"/>
      <c r="K31" s="45" t="n"/>
    </row>
    <row r="32">
      <c r="A32" s="6" t="n">
        <v>17</v>
      </c>
      <c r="B32" s="5" t="inlineStr">
        <is>
          <t>MECHANICAL</t>
        </is>
      </c>
      <c r="C32" s="5" t="inlineStr">
        <is>
          <t>Pump operator</t>
        </is>
      </c>
      <c r="D32" s="5" t="inlineStr">
        <is>
          <t>CFR Satellite</t>
        </is>
      </c>
      <c r="E32" s="6" t="n">
        <v>4</v>
      </c>
      <c r="F32" s="6" t="n">
        <v>0</v>
      </c>
      <c r="G32" s="10" t="n">
        <v>4</v>
      </c>
      <c r="H32" s="11" t="inlineStr">
        <is>
          <t>HIGH</t>
        </is>
      </c>
      <c r="I32" s="45" t="n"/>
      <c r="J32" s="45" t="n"/>
      <c r="K32" s="45" t="n"/>
    </row>
    <row r="33">
      <c r="A33" s="6" t="n">
        <v>18</v>
      </c>
      <c r="B33" s="5" t="inlineStr">
        <is>
          <t>MECHANICAL</t>
        </is>
      </c>
      <c r="C33" s="5" t="inlineStr">
        <is>
          <t>STP helper</t>
        </is>
      </c>
      <c r="D33" s="5" t="inlineStr">
        <is>
          <t>STP</t>
        </is>
      </c>
      <c r="E33" s="6" t="n">
        <v>4</v>
      </c>
      <c r="F33" s="6" t="n">
        <v>0</v>
      </c>
      <c r="G33" s="10" t="n">
        <v>4</v>
      </c>
      <c r="H33" s="11" t="inlineStr">
        <is>
          <t>HIGH</t>
        </is>
      </c>
      <c r="I33" s="45" t="n"/>
      <c r="J33" s="45" t="n"/>
      <c r="K33" s="45" t="n"/>
    </row>
    <row r="34">
      <c r="A34" s="6" t="n">
        <v>19</v>
      </c>
      <c r="B34" s="5" t="inlineStr">
        <is>
          <t>MECHANICAL</t>
        </is>
      </c>
      <c r="C34" s="5" t="inlineStr">
        <is>
          <t>Sewage pump operator</t>
        </is>
      </c>
      <c r="D34" s="5" t="inlineStr">
        <is>
          <t>ALS QRT</t>
        </is>
      </c>
      <c r="E34" s="6" t="n">
        <v>4</v>
      </c>
      <c r="F34" s="6" t="n">
        <v>0</v>
      </c>
      <c r="G34" s="10" t="n">
        <v>4</v>
      </c>
      <c r="H34" s="11" t="inlineStr">
        <is>
          <t>HIGH</t>
        </is>
      </c>
      <c r="I34" s="45" t="n"/>
      <c r="J34" s="45" t="n"/>
      <c r="K34" s="45" t="n"/>
    </row>
    <row r="35">
      <c r="A35" s="6" t="n">
        <v>20</v>
      </c>
      <c r="B35" s="5" t="inlineStr">
        <is>
          <t>MECHANICAL</t>
        </is>
      </c>
      <c r="C35" s="5" t="inlineStr">
        <is>
          <t>Helper Tech Associate Plu</t>
        </is>
      </c>
      <c r="D35" s="5" t="inlineStr">
        <is>
          <t>Admin building</t>
        </is>
      </c>
      <c r="E35" s="6" t="n">
        <v>3</v>
      </c>
      <c r="F35" s="6" t="n">
        <v>0</v>
      </c>
      <c r="G35" s="10" t="n">
        <v>3</v>
      </c>
      <c r="H35" s="11" t="inlineStr">
        <is>
          <t>HIGH</t>
        </is>
      </c>
      <c r="I35" s="45" t="n"/>
      <c r="J35" s="45" t="n"/>
      <c r="K35" s="45" t="n"/>
    </row>
    <row r="36">
      <c r="A36" s="6" t="n">
        <v>21</v>
      </c>
      <c r="B36" s="5" t="inlineStr">
        <is>
          <t>MECHANICAL</t>
        </is>
      </c>
      <c r="C36" s="5" t="inlineStr">
        <is>
          <t>Plumbing -Tech</t>
        </is>
      </c>
      <c r="D36" s="5" t="inlineStr">
        <is>
          <t>Admin building</t>
        </is>
      </c>
      <c r="E36" s="6" t="n">
        <v>3</v>
      </c>
      <c r="F36" s="6" t="n">
        <v>0</v>
      </c>
      <c r="G36" s="10" t="n">
        <v>3</v>
      </c>
      <c r="H36" s="11" t="inlineStr">
        <is>
          <t>HIGH</t>
        </is>
      </c>
      <c r="I36" s="45" t="n"/>
      <c r="J36" s="45" t="n"/>
      <c r="K36" s="45" t="n"/>
    </row>
    <row r="37">
      <c r="A37" s="6" t="n">
        <v>22</v>
      </c>
      <c r="B37" s="5" t="inlineStr">
        <is>
          <t>MECHANICAL</t>
        </is>
      </c>
      <c r="C37" s="5" t="inlineStr">
        <is>
          <t>Pump Operator</t>
        </is>
      </c>
      <c r="D37" s="5" t="inlineStr">
        <is>
          <t>RO/firepump room</t>
        </is>
      </c>
      <c r="E37" s="6" t="n">
        <v>3</v>
      </c>
      <c r="F37" s="6" t="n">
        <v>0</v>
      </c>
      <c r="G37" s="10" t="n">
        <v>3</v>
      </c>
      <c r="H37" s="11" t="inlineStr">
        <is>
          <t>HIGH</t>
        </is>
      </c>
      <c r="I37" s="45" t="n"/>
      <c r="J37" s="45" t="n"/>
      <c r="K37" s="45" t="n"/>
    </row>
    <row r="38">
      <c r="A38" s="6" t="n">
        <v>23</v>
      </c>
      <c r="B38" s="5" t="inlineStr">
        <is>
          <t>MECHANICAL</t>
        </is>
      </c>
      <c r="C38" s="5" t="inlineStr">
        <is>
          <t>Technician-mech</t>
        </is>
      </c>
      <c r="D38" s="5" t="inlineStr">
        <is>
          <t>ALS QRT</t>
        </is>
      </c>
      <c r="E38" s="6" t="n">
        <v>4</v>
      </c>
      <c r="F38" s="6" t="n">
        <v>1</v>
      </c>
      <c r="G38" s="7" t="n">
        <v>3</v>
      </c>
      <c r="H38" s="11" t="inlineStr">
        <is>
          <t>HIGH</t>
        </is>
      </c>
      <c r="I38" s="45" t="n"/>
      <c r="J38" s="45" t="n"/>
      <c r="K38" s="45" t="n"/>
    </row>
    <row r="39">
      <c r="A39" s="6" t="n">
        <v>24</v>
      </c>
      <c r="B39" s="5" t="inlineStr">
        <is>
          <t>MECHANICAL</t>
        </is>
      </c>
      <c r="C39" s="5" t="inlineStr">
        <is>
          <t>Helper Tech Associate Mech.</t>
        </is>
      </c>
      <c r="D39" s="5" t="inlineStr">
        <is>
          <t>Admin building</t>
        </is>
      </c>
      <c r="E39" s="6" t="n">
        <v>2</v>
      </c>
      <c r="F39" s="6" t="n">
        <v>0</v>
      </c>
      <c r="G39" s="10" t="n">
        <v>2</v>
      </c>
      <c r="H39" s="11" t="inlineStr">
        <is>
          <t>HIGH</t>
        </is>
      </c>
      <c r="I39" s="45" t="n"/>
      <c r="J39" s="45" t="n"/>
      <c r="K39" s="45" t="n"/>
    </row>
    <row r="40">
      <c r="A40" s="6" t="n">
        <v>25</v>
      </c>
      <c r="B40" s="5" t="inlineStr">
        <is>
          <t>MECHANICAL</t>
        </is>
      </c>
      <c r="C40" s="5" t="inlineStr">
        <is>
          <t>Shift Engineers</t>
        </is>
      </c>
      <c r="D40" s="5" t="inlineStr">
        <is>
          <t>AIRSIDE &amp; Landside</t>
        </is>
      </c>
      <c r="E40" s="6" t="n">
        <v>2</v>
      </c>
      <c r="F40" s="6" t="n">
        <v>0</v>
      </c>
      <c r="G40" s="10" t="n">
        <v>2</v>
      </c>
      <c r="H40" s="11" t="inlineStr">
        <is>
          <t>HIGH</t>
        </is>
      </c>
      <c r="I40" s="45" t="n"/>
      <c r="J40" s="45" t="n"/>
      <c r="K40" s="45" t="n"/>
    </row>
    <row r="41">
      <c r="A41" s="6" t="n">
        <v>26</v>
      </c>
      <c r="B41" s="5" t="inlineStr">
        <is>
          <t>MECHANICAL</t>
        </is>
      </c>
      <c r="C41" s="5" t="inlineStr">
        <is>
          <t>Asst Manager</t>
        </is>
      </c>
      <c r="D41" s="5" t="inlineStr">
        <is>
          <t>Overall</t>
        </is>
      </c>
      <c r="E41" s="6" t="n">
        <v>1</v>
      </c>
      <c r="F41" s="6" t="n">
        <v>0</v>
      </c>
      <c r="G41" s="10" t="n">
        <v>1</v>
      </c>
      <c r="H41" s="11" t="inlineStr">
        <is>
          <t>LOW</t>
        </is>
      </c>
      <c r="I41" s="45" t="n"/>
      <c r="J41" s="45" t="n"/>
      <c r="K41" s="45" t="n"/>
    </row>
    <row r="42">
      <c r="A42" s="6" t="n">
        <v>27</v>
      </c>
      <c r="B42" s="5" t="inlineStr">
        <is>
          <t>MECHANICAL</t>
        </is>
      </c>
      <c r="C42" s="5" t="inlineStr">
        <is>
          <t>STP incharge</t>
        </is>
      </c>
      <c r="D42" s="5" t="inlineStr">
        <is>
          <t>WTP</t>
        </is>
      </c>
      <c r="E42" s="6" t="n">
        <v>1</v>
      </c>
      <c r="F42" s="6" t="n">
        <v>0</v>
      </c>
      <c r="G42" s="10" t="n">
        <v>1</v>
      </c>
      <c r="H42" s="11" t="inlineStr">
        <is>
          <t>LOW</t>
        </is>
      </c>
      <c r="I42" s="45" t="n"/>
      <c r="J42" s="45" t="n"/>
      <c r="K42" s="45" t="n"/>
    </row>
    <row r="43">
      <c r="A43" s="6" t="n">
        <v>28</v>
      </c>
      <c r="B43" s="5" t="inlineStr">
        <is>
          <t>MECHANICAL</t>
        </is>
      </c>
      <c r="C43" s="5" t="inlineStr">
        <is>
          <t>STP operator</t>
        </is>
      </c>
      <c r="D43" s="5" t="inlineStr">
        <is>
          <t>STP</t>
        </is>
      </c>
      <c r="E43" s="6" t="n">
        <v>4</v>
      </c>
      <c r="F43" s="6" t="n">
        <v>3</v>
      </c>
      <c r="G43" s="7" t="n">
        <v>1</v>
      </c>
      <c r="H43" s="11" t="inlineStr">
        <is>
          <t>LOW</t>
        </is>
      </c>
      <c r="I43" s="45" t="n"/>
      <c r="J43" s="45" t="n"/>
      <c r="K43" s="45" t="n"/>
    </row>
    <row r="44">
      <c r="A44" s="6" t="n">
        <v>29</v>
      </c>
      <c r="B44" s="5" t="inlineStr">
        <is>
          <t>MECHANICAL</t>
        </is>
      </c>
      <c r="C44" s="5" t="inlineStr">
        <is>
          <t>Safety Officer</t>
        </is>
      </c>
      <c r="D44" s="5" t="inlineStr">
        <is>
          <t>ALS QRT</t>
        </is>
      </c>
      <c r="E44" s="6" t="n">
        <v>1</v>
      </c>
      <c r="F44" s="6" t="n">
        <v>0</v>
      </c>
      <c r="G44" s="10" t="n">
        <v>1</v>
      </c>
      <c r="H44" s="11" t="inlineStr">
        <is>
          <t>LOW</t>
        </is>
      </c>
      <c r="I44" s="45" t="n"/>
      <c r="J44" s="45" t="n"/>
      <c r="K44" s="45" t="n"/>
    </row>
    <row r="45">
      <c r="A45" s="6" t="n">
        <v>30</v>
      </c>
      <c r="B45" s="5" t="inlineStr">
        <is>
          <t>MECHANICAL</t>
        </is>
      </c>
      <c r="C45" s="5" t="inlineStr">
        <is>
          <t>Shift Engineers</t>
        </is>
      </c>
      <c r="D45" s="5" t="inlineStr">
        <is>
          <t>PTB</t>
        </is>
      </c>
      <c r="E45" s="6" t="n">
        <v>1</v>
      </c>
      <c r="F45" s="6" t="n">
        <v>0</v>
      </c>
      <c r="G45" s="10" t="n">
        <v>1</v>
      </c>
      <c r="H45" s="11" t="inlineStr">
        <is>
          <t>LOW</t>
        </is>
      </c>
      <c r="I45" s="45" t="n"/>
      <c r="J45" s="45" t="n"/>
      <c r="K45" s="45" t="n"/>
    </row>
    <row r="46">
      <c r="A46" s="6" t="n">
        <v>31</v>
      </c>
      <c r="B46" s="5" t="inlineStr">
        <is>
          <t>MECHANICAL</t>
        </is>
      </c>
      <c r="C46" s="5" t="inlineStr">
        <is>
          <t>WTP Helper</t>
        </is>
      </c>
      <c r="D46" s="5" t="inlineStr">
        <is>
          <t>WTP</t>
        </is>
      </c>
      <c r="E46" s="6" t="n">
        <v>2</v>
      </c>
      <c r="F46" s="6" t="n">
        <v>1</v>
      </c>
      <c r="G46" s="7" t="n">
        <v>1</v>
      </c>
      <c r="H46" s="11" t="inlineStr">
        <is>
          <t>LOW</t>
        </is>
      </c>
      <c r="I46" s="45" t="n"/>
      <c r="J46" s="45" t="n"/>
      <c r="K46" s="45" t="n"/>
    </row>
    <row r="47">
      <c r="A47" s="6" t="n">
        <v>32</v>
      </c>
      <c r="B47" s="5" t="inlineStr">
        <is>
          <t>MECHANICAL</t>
        </is>
      </c>
      <c r="C47" s="5" t="inlineStr">
        <is>
          <t>WTP technician</t>
        </is>
      </c>
      <c r="D47" s="5" t="inlineStr">
        <is>
          <t>WTP</t>
        </is>
      </c>
      <c r="E47" s="6" t="n">
        <v>4</v>
      </c>
      <c r="F47" s="6" t="n">
        <v>3</v>
      </c>
      <c r="G47" s="7" t="n">
        <v>1</v>
      </c>
      <c r="H47" s="11" t="inlineStr">
        <is>
          <t>LOW</t>
        </is>
      </c>
      <c r="I47" s="45" t="n"/>
      <c r="J47" s="45" t="n"/>
      <c r="K47" s="45" t="n"/>
    </row>
    <row r="48">
      <c r="A48" s="6" t="n">
        <v>33</v>
      </c>
      <c r="B48" s="5" t="inlineStr">
        <is>
          <t>TRANSPORT</t>
        </is>
      </c>
      <c r="C48" s="5" t="inlineStr">
        <is>
          <t>High raise machine operators 21mt&amp; 18mt</t>
        </is>
      </c>
      <c r="D48" s="5" t="inlineStr">
        <is>
          <t>TRANSPORT</t>
        </is>
      </c>
      <c r="E48" s="6" t="n">
        <v>2</v>
      </c>
      <c r="F48" s="6" t="n">
        <v>0</v>
      </c>
      <c r="G48" s="10" t="n">
        <v>2</v>
      </c>
      <c r="H48" s="7" t="inlineStr">
        <is>
          <t>MEDIUM</t>
        </is>
      </c>
      <c r="I48" s="45" t="n"/>
      <c r="J48" s="45" t="n"/>
      <c r="K48" s="45" t="n"/>
    </row>
    <row r="49">
      <c r="A49" s="6" t="n">
        <v>34</v>
      </c>
      <c r="B49" s="5" t="inlineStr">
        <is>
          <t>TRANSPORT</t>
        </is>
      </c>
      <c r="C49" s="5" t="inlineStr">
        <is>
          <t>Associate mgr/JM</t>
        </is>
      </c>
      <c r="D49" s="5" t="inlineStr">
        <is>
          <t>TRANSPORT</t>
        </is>
      </c>
      <c r="E49" s="6" t="n">
        <v>1</v>
      </c>
      <c r="F49" s="6" t="n">
        <v>0</v>
      </c>
      <c r="G49" s="10" t="n">
        <v>1</v>
      </c>
      <c r="H49" s="11" t="inlineStr">
        <is>
          <t>LOW</t>
        </is>
      </c>
      <c r="I49" s="45" t="n"/>
      <c r="J49" s="45" t="n"/>
      <c r="K49" s="45" t="n"/>
    </row>
    <row r="50">
      <c r="A50" s="6" t="n">
        <v>35</v>
      </c>
      <c r="B50" s="5" t="inlineStr">
        <is>
          <t>TRANSPORT</t>
        </is>
      </c>
      <c r="C50" s="5" t="inlineStr">
        <is>
          <t>Mechanical Helper</t>
        </is>
      </c>
      <c r="D50" s="5" t="inlineStr">
        <is>
          <t>TRANSPORT</t>
        </is>
      </c>
      <c r="E50" s="6" t="n">
        <v>1</v>
      </c>
      <c r="F50" s="6" t="n">
        <v>0</v>
      </c>
      <c r="G50" s="10" t="n">
        <v>1</v>
      </c>
      <c r="H50" s="11" t="inlineStr">
        <is>
          <t>LOW</t>
        </is>
      </c>
      <c r="I50" s="45" t="n"/>
      <c r="J50" s="45" t="n"/>
      <c r="K50" s="45" t="n"/>
    </row>
    <row r="51">
      <c r="A51" s="6" t="n">
        <v>36</v>
      </c>
      <c r="B51" s="5" t="inlineStr">
        <is>
          <t>TRANSPORT</t>
        </is>
      </c>
      <c r="C51" s="5" t="inlineStr">
        <is>
          <t>Paint machine operator</t>
        </is>
      </c>
      <c r="D51" s="5" t="inlineStr">
        <is>
          <t>TRANSPORT</t>
        </is>
      </c>
      <c r="E51" s="6" t="n">
        <v>1</v>
      </c>
      <c r="F51" s="6" t="n">
        <v>0</v>
      </c>
      <c r="G51" s="10" t="n">
        <v>1</v>
      </c>
      <c r="H51" s="11" t="inlineStr">
        <is>
          <t>LOW</t>
        </is>
      </c>
      <c r="I51" s="45" t="n"/>
      <c r="J51" s="45" t="n"/>
      <c r="K51" s="45" t="n"/>
    </row>
    <row r="52">
      <c r="A52" s="6" t="n">
        <v>37</v>
      </c>
      <c r="B52" s="5" t="inlineStr">
        <is>
          <t>TRANSPORT</t>
        </is>
      </c>
      <c r="C52" s="5" t="inlineStr">
        <is>
          <t>Tyre Technician</t>
        </is>
      </c>
      <c r="D52" s="5" t="inlineStr">
        <is>
          <t>TRANSPORT</t>
        </is>
      </c>
      <c r="E52" s="6" t="n">
        <v>1</v>
      </c>
      <c r="F52" s="6" t="n">
        <v>0</v>
      </c>
      <c r="G52" s="10" t="n">
        <v>1</v>
      </c>
      <c r="H52" s="11" t="inlineStr">
        <is>
          <t>LOW</t>
        </is>
      </c>
      <c r="I52" s="45" t="n"/>
      <c r="J52" s="45" t="n"/>
      <c r="K52" s="45" t="n"/>
    </row>
    <row r="53">
      <c r="A53" s="6" t="n">
        <v>38</v>
      </c>
      <c r="B53" s="5" t="inlineStr">
        <is>
          <t>ADMIN</t>
        </is>
      </c>
      <c r="C53" s="5" t="inlineStr">
        <is>
          <t>HR Manager</t>
        </is>
      </c>
      <c r="D53" s="5" t="inlineStr">
        <is>
          <t>ADMIN</t>
        </is>
      </c>
      <c r="E53" s="6" t="n">
        <v>1</v>
      </c>
      <c r="F53" s="6" t="n">
        <v>1</v>
      </c>
      <c r="G53" s="8" t="n">
        <v>0</v>
      </c>
      <c r="H53" s="8" t="inlineStr">
        <is>
          <t>OK</t>
        </is>
      </c>
      <c r="I53" s="45" t="n"/>
      <c r="J53" s="45" t="n"/>
      <c r="K53" s="45" t="n"/>
    </row>
    <row r="54">
      <c r="A54" s="6" t="n">
        <v>39</v>
      </c>
      <c r="B54" s="5" t="inlineStr">
        <is>
          <t>ADMIN</t>
        </is>
      </c>
      <c r="C54" s="5" t="inlineStr">
        <is>
          <t>MIS Executive</t>
        </is>
      </c>
      <c r="D54" s="5" t="inlineStr">
        <is>
          <t>Terminal</t>
        </is>
      </c>
      <c r="E54" s="6" t="n">
        <v>1</v>
      </c>
      <c r="F54" s="6" t="n">
        <v>1</v>
      </c>
      <c r="G54" s="8" t="n">
        <v>0</v>
      </c>
      <c r="H54" s="8" t="inlineStr">
        <is>
          <t>OK</t>
        </is>
      </c>
      <c r="I54" s="45" t="n"/>
      <c r="J54" s="45" t="n"/>
      <c r="K54" s="45" t="n"/>
    </row>
    <row r="55">
      <c r="A55" s="6" t="n">
        <v>40</v>
      </c>
      <c r="B55" s="5" t="inlineStr">
        <is>
          <t>ADMIN</t>
        </is>
      </c>
      <c r="C55" s="5" t="inlineStr">
        <is>
          <t>Site Head (GM)</t>
        </is>
      </c>
      <c r="D55" s="5" t="inlineStr">
        <is>
          <t>ADMIN</t>
        </is>
      </c>
      <c r="E55" s="6" t="n">
        <v>1</v>
      </c>
      <c r="F55" s="6" t="n">
        <v>1</v>
      </c>
      <c r="G55" s="8" t="n">
        <v>0</v>
      </c>
      <c r="H55" s="8" t="inlineStr">
        <is>
          <t>OK</t>
        </is>
      </c>
      <c r="I55" s="45" t="n"/>
      <c r="J55" s="45" t="n"/>
      <c r="K55" s="45" t="n"/>
    </row>
    <row r="56">
      <c r="A56" s="6" t="n">
        <v>41</v>
      </c>
      <c r="B56" s="5" t="inlineStr">
        <is>
          <t>ELECTRICAL</t>
        </is>
      </c>
      <c r="C56" s="5" t="inlineStr">
        <is>
          <t>Asst Manager</t>
        </is>
      </c>
      <c r="D56" s="5" t="inlineStr">
        <is>
          <t>Overall</t>
        </is>
      </c>
      <c r="E56" s="6" t="n">
        <v>1</v>
      </c>
      <c r="F56" s="6" t="n">
        <v>1</v>
      </c>
      <c r="G56" s="8" t="n">
        <v>0</v>
      </c>
      <c r="H56" s="8" t="inlineStr">
        <is>
          <t>OK</t>
        </is>
      </c>
      <c r="I56" s="45" t="n"/>
      <c r="J56" s="45" t="n"/>
      <c r="K56" s="45" t="n"/>
    </row>
    <row r="57">
      <c r="A57" s="6" t="n">
        <v>42</v>
      </c>
      <c r="B57" s="5" t="inlineStr">
        <is>
          <t>ELECTRICAL</t>
        </is>
      </c>
      <c r="C57" s="5" t="inlineStr">
        <is>
          <t>Floor Technicians</t>
        </is>
      </c>
      <c r="D57" s="5" t="inlineStr">
        <is>
          <t>Terminal</t>
        </is>
      </c>
      <c r="E57" s="6" t="n">
        <v>7</v>
      </c>
      <c r="F57" s="6" t="n">
        <v>7</v>
      </c>
      <c r="G57" s="8" t="n">
        <v>0</v>
      </c>
      <c r="H57" s="8" t="inlineStr">
        <is>
          <t>OK</t>
        </is>
      </c>
      <c r="I57" s="45" t="n"/>
      <c r="J57" s="45" t="n"/>
      <c r="K57" s="45" t="n"/>
    </row>
    <row r="58">
      <c r="A58" s="6" t="n">
        <v>43</v>
      </c>
      <c r="B58" s="5" t="inlineStr">
        <is>
          <t>ELECTRICAL</t>
        </is>
      </c>
      <c r="C58" s="5" t="inlineStr">
        <is>
          <t>High Mast Operator (Technicians)</t>
        </is>
      </c>
      <c r="D58" s="5" t="inlineStr">
        <is>
          <t>High Mast</t>
        </is>
      </c>
      <c r="E58" s="6" t="n">
        <v>1</v>
      </c>
      <c r="F58" s="6" t="n">
        <v>1</v>
      </c>
      <c r="G58" s="8" t="n">
        <v>0</v>
      </c>
      <c r="H58" s="8" t="inlineStr">
        <is>
          <t>OK</t>
        </is>
      </c>
      <c r="I58" s="45" t="n"/>
      <c r="J58" s="45" t="n"/>
      <c r="K58" s="45" t="n"/>
    </row>
    <row r="59">
      <c r="A59" s="6" t="n">
        <v>44</v>
      </c>
      <c r="B59" s="5" t="inlineStr">
        <is>
          <t>ELECTRICAL</t>
        </is>
      </c>
      <c r="C59" s="5" t="inlineStr">
        <is>
          <t>MRSS Operators (Technician)</t>
        </is>
      </c>
      <c r="D59" s="5" t="inlineStr">
        <is>
          <t>MRSS</t>
        </is>
      </c>
      <c r="E59" s="6" t="n">
        <v>1</v>
      </c>
      <c r="F59" s="6" t="n">
        <v>1</v>
      </c>
      <c r="G59" s="8" t="n">
        <v>0</v>
      </c>
      <c r="H59" s="8" t="inlineStr">
        <is>
          <t>OK</t>
        </is>
      </c>
      <c r="I59" s="45" t="n"/>
      <c r="J59" s="45" t="n"/>
      <c r="K59" s="45" t="n"/>
    </row>
    <row r="60">
      <c r="A60" s="6" t="n">
        <v>45</v>
      </c>
      <c r="B60" s="5" t="inlineStr">
        <is>
          <t>ELECTRICAL</t>
        </is>
      </c>
      <c r="C60" s="5" t="inlineStr">
        <is>
          <t>MRSS Operators (Technician)</t>
        </is>
      </c>
      <c r="D60" s="5" t="inlineStr">
        <is>
          <t>Terminal</t>
        </is>
      </c>
      <c r="E60" s="6" t="n">
        <v>3</v>
      </c>
      <c r="F60" s="6" t="n">
        <v>3</v>
      </c>
      <c r="G60" s="8" t="n">
        <v>0</v>
      </c>
      <c r="H60" s="8" t="inlineStr">
        <is>
          <t>OK</t>
        </is>
      </c>
      <c r="I60" s="45" t="n"/>
      <c r="J60" s="45" t="n"/>
      <c r="K60" s="45" t="n"/>
    </row>
    <row r="61">
      <c r="A61" s="6" t="n">
        <v>46</v>
      </c>
      <c r="B61" s="5" t="inlineStr">
        <is>
          <t>ELECTRICAL</t>
        </is>
      </c>
      <c r="C61" s="5" t="inlineStr">
        <is>
          <t>Ops Technicians (ELE -Ops)</t>
        </is>
      </c>
      <c r="D61" s="5" t="inlineStr">
        <is>
          <t>AGL-EAST</t>
        </is>
      </c>
      <c r="E61" s="6" t="n">
        <v>1</v>
      </c>
      <c r="F61" s="6" t="n">
        <v>1</v>
      </c>
      <c r="G61" s="8" t="n">
        <v>0</v>
      </c>
      <c r="H61" s="8" t="inlineStr">
        <is>
          <t>OK</t>
        </is>
      </c>
      <c r="I61" s="45" t="n"/>
      <c r="J61" s="45" t="n"/>
      <c r="K61" s="45" t="n"/>
    </row>
    <row r="62">
      <c r="A62" s="6" t="n">
        <v>47</v>
      </c>
      <c r="B62" s="5" t="inlineStr">
        <is>
          <t>ELECTRICAL</t>
        </is>
      </c>
      <c r="C62" s="5" t="inlineStr">
        <is>
          <t>Ops Technicians (ELE -Ops)</t>
        </is>
      </c>
      <c r="D62" s="5" t="inlineStr">
        <is>
          <t>AGL-WEST</t>
        </is>
      </c>
      <c r="E62" s="6" t="n">
        <v>3</v>
      </c>
      <c r="F62" s="6" t="n">
        <v>3</v>
      </c>
      <c r="G62" s="8" t="n">
        <v>0</v>
      </c>
      <c r="H62" s="8" t="inlineStr">
        <is>
          <t>OK</t>
        </is>
      </c>
    </row>
    <row r="63">
      <c r="A63" s="6" t="n">
        <v>48</v>
      </c>
      <c r="B63" s="5" t="inlineStr">
        <is>
          <t>ELECTRICAL</t>
        </is>
      </c>
      <c r="C63" s="5" t="inlineStr">
        <is>
          <t>Sr Technicians</t>
        </is>
      </c>
      <c r="D63" s="5" t="inlineStr">
        <is>
          <t>MRSS</t>
        </is>
      </c>
      <c r="E63" s="6" t="n">
        <v>4</v>
      </c>
      <c r="F63" s="6" t="n">
        <v>4</v>
      </c>
      <c r="G63" s="8" t="n">
        <v>0</v>
      </c>
      <c r="H63" s="8" t="inlineStr">
        <is>
          <t>OK</t>
        </is>
      </c>
    </row>
    <row r="64">
      <c r="A64" s="6" t="n">
        <v>49</v>
      </c>
      <c r="B64" s="5" t="inlineStr">
        <is>
          <t>ELECTRICAL</t>
        </is>
      </c>
      <c r="C64" s="5" t="inlineStr">
        <is>
          <t>Substation Operators</t>
        </is>
      </c>
      <c r="D64" s="5" t="inlineStr">
        <is>
          <t>AGL-EAST</t>
        </is>
      </c>
      <c r="E64" s="6" t="n">
        <v>2</v>
      </c>
      <c r="F64" s="6" t="n">
        <v>2</v>
      </c>
      <c r="G64" s="8" t="n">
        <v>0</v>
      </c>
      <c r="H64" s="8" t="inlineStr">
        <is>
          <t>OK</t>
        </is>
      </c>
    </row>
    <row r="65">
      <c r="A65" s="6" t="n">
        <v>50</v>
      </c>
      <c r="B65" s="5" t="inlineStr">
        <is>
          <t>ELECTRICAL</t>
        </is>
      </c>
      <c r="C65" s="5" t="inlineStr">
        <is>
          <t>Substation Operators</t>
        </is>
      </c>
      <c r="D65" s="5" t="inlineStr">
        <is>
          <t>Admin</t>
        </is>
      </c>
      <c r="E65" s="6" t="n">
        <v>4</v>
      </c>
      <c r="F65" s="6" t="n">
        <v>4</v>
      </c>
      <c r="G65" s="8" t="n">
        <v>0</v>
      </c>
      <c r="H65" s="8" t="inlineStr">
        <is>
          <t>OK</t>
        </is>
      </c>
    </row>
    <row r="66">
      <c r="A66" s="6" t="n">
        <v>51</v>
      </c>
      <c r="B66" s="5" t="inlineStr">
        <is>
          <t>ELECTRICAL</t>
        </is>
      </c>
      <c r="C66" s="5" t="inlineStr">
        <is>
          <t>Substation Operators</t>
        </is>
      </c>
      <c r="D66" s="5" t="inlineStr">
        <is>
          <t>Terminal</t>
        </is>
      </c>
      <c r="E66" s="6" t="n">
        <v>1</v>
      </c>
      <c r="F66" s="6" t="n">
        <v>1</v>
      </c>
      <c r="G66" s="8" t="n">
        <v>0</v>
      </c>
      <c r="H66" s="8" t="inlineStr">
        <is>
          <t>OK</t>
        </is>
      </c>
    </row>
    <row r="67">
      <c r="A67" s="6" t="n">
        <v>52</v>
      </c>
      <c r="B67" s="5" t="inlineStr">
        <is>
          <t>ELECTRICAL</t>
        </is>
      </c>
      <c r="C67" s="5" t="inlineStr">
        <is>
          <t>Technicians</t>
        </is>
      </c>
      <c r="D67" s="5" t="inlineStr">
        <is>
          <t>Landside</t>
        </is>
      </c>
      <c r="E67" s="6" t="n">
        <v>2</v>
      </c>
      <c r="F67" s="6" t="n">
        <v>2</v>
      </c>
      <c r="G67" s="8" t="n">
        <v>0</v>
      </c>
      <c r="H67" s="8" t="inlineStr">
        <is>
          <t>OK</t>
        </is>
      </c>
    </row>
    <row r="68">
      <c r="A68" s="6" t="n">
        <v>53</v>
      </c>
      <c r="B68" s="5" t="inlineStr">
        <is>
          <t>MECHANICAL</t>
        </is>
      </c>
      <c r="C68" s="5" t="inlineStr">
        <is>
          <t>Fitter Mechanical</t>
        </is>
      </c>
      <c r="D68" s="5" t="inlineStr">
        <is>
          <t>Utility</t>
        </is>
      </c>
      <c r="E68" s="6" t="n">
        <v>1</v>
      </c>
      <c r="F68" s="6" t="n">
        <v>1</v>
      </c>
      <c r="G68" s="8" t="n">
        <v>0</v>
      </c>
      <c r="H68" s="8" t="inlineStr">
        <is>
          <t>OK</t>
        </is>
      </c>
    </row>
    <row r="69">
      <c r="A69" s="6" t="n">
        <v>54</v>
      </c>
      <c r="B69" s="5" t="inlineStr">
        <is>
          <t>MECHANICAL</t>
        </is>
      </c>
      <c r="C69" s="5" t="inlineStr">
        <is>
          <t>HVAC Floor Technicians</t>
        </is>
      </c>
      <c r="D69" s="5" t="inlineStr">
        <is>
          <t>ADMIN</t>
        </is>
      </c>
      <c r="E69" s="6" t="n">
        <v>1</v>
      </c>
      <c r="F69" s="6" t="n">
        <v>1</v>
      </c>
      <c r="G69" s="8" t="n">
        <v>0</v>
      </c>
      <c r="H69" s="8" t="inlineStr">
        <is>
          <t>OK</t>
        </is>
      </c>
    </row>
    <row r="70">
      <c r="A70" s="6" t="n">
        <v>55</v>
      </c>
      <c r="B70" s="5" t="inlineStr">
        <is>
          <t>MECHANICAL</t>
        </is>
      </c>
      <c r="C70" s="5" t="inlineStr">
        <is>
          <t>HVAC Floor Technicians</t>
        </is>
      </c>
      <c r="D70" s="5" t="inlineStr">
        <is>
          <t>ATC</t>
        </is>
      </c>
      <c r="E70" s="6" t="n">
        <v>1</v>
      </c>
      <c r="F70" s="6" t="n">
        <v>1</v>
      </c>
      <c r="G70" s="8" t="n">
        <v>0</v>
      </c>
      <c r="H70" s="8" t="inlineStr">
        <is>
          <t>OK</t>
        </is>
      </c>
    </row>
    <row r="71">
      <c r="A71" s="6" t="n">
        <v>56</v>
      </c>
      <c r="B71" s="5" t="inlineStr">
        <is>
          <t>MECHANICAL</t>
        </is>
      </c>
      <c r="C71" s="5" t="inlineStr">
        <is>
          <t>HVAC Floor Technicians</t>
        </is>
      </c>
      <c r="D71" s="5" t="inlineStr">
        <is>
          <t>Admin</t>
        </is>
      </c>
      <c r="E71" s="6" t="n">
        <v>1</v>
      </c>
      <c r="F71" s="6" t="n">
        <v>1</v>
      </c>
      <c r="G71" s="8" t="n">
        <v>0</v>
      </c>
      <c r="H71" s="8" t="inlineStr">
        <is>
          <t>OK</t>
        </is>
      </c>
    </row>
    <row r="72">
      <c r="A72" s="6" t="n">
        <v>57</v>
      </c>
      <c r="B72" s="5" t="inlineStr">
        <is>
          <t>MECHANICAL</t>
        </is>
      </c>
      <c r="C72" s="5" t="inlineStr">
        <is>
          <t>HVAC Floor Technicians</t>
        </is>
      </c>
      <c r="D72" s="5" t="inlineStr">
        <is>
          <t>PTB</t>
        </is>
      </c>
      <c r="E72" s="6" t="n">
        <v>3</v>
      </c>
      <c r="F72" s="6" t="n">
        <v>3</v>
      </c>
      <c r="G72" s="8" t="n">
        <v>0</v>
      </c>
      <c r="H72" s="8" t="inlineStr">
        <is>
          <t>OK</t>
        </is>
      </c>
    </row>
    <row r="73">
      <c r="A73" s="6" t="n">
        <v>58</v>
      </c>
      <c r="B73" s="5" t="inlineStr">
        <is>
          <t>MECHANICAL</t>
        </is>
      </c>
      <c r="C73" s="5" t="inlineStr">
        <is>
          <t>HVAC Floor Technicians</t>
        </is>
      </c>
      <c r="D73" s="5" t="inlineStr">
        <is>
          <t>Utility</t>
        </is>
      </c>
      <c r="E73" s="6" t="n">
        <v>2</v>
      </c>
      <c r="F73" s="6" t="n">
        <v>2</v>
      </c>
      <c r="G73" s="8" t="n">
        <v>0</v>
      </c>
      <c r="H73" s="8" t="inlineStr">
        <is>
          <t>OK</t>
        </is>
      </c>
    </row>
    <row r="74">
      <c r="A74" s="6" t="n">
        <v>59</v>
      </c>
      <c r="B74" s="5" t="inlineStr">
        <is>
          <t>MECHANICAL</t>
        </is>
      </c>
      <c r="C74" s="5" t="inlineStr">
        <is>
          <t>Helper (Tech-Ass-Mec) chiller plant</t>
        </is>
      </c>
      <c r="D74" s="5" t="inlineStr">
        <is>
          <t>Utility</t>
        </is>
      </c>
      <c r="E74" s="6" t="n">
        <v>2</v>
      </c>
      <c r="F74" s="6" t="n">
        <v>2</v>
      </c>
      <c r="G74" s="8" t="n">
        <v>0</v>
      </c>
      <c r="H74" s="8" t="inlineStr">
        <is>
          <t>OK</t>
        </is>
      </c>
    </row>
    <row r="75">
      <c r="A75" s="6" t="n">
        <v>60</v>
      </c>
      <c r="B75" s="5" t="inlineStr">
        <is>
          <t>MECHANICAL</t>
        </is>
      </c>
      <c r="C75" s="5" t="inlineStr">
        <is>
          <t>Helper Tech Associate Mech.</t>
        </is>
      </c>
      <c r="D75" s="5" t="inlineStr">
        <is>
          <t>ADMIN/MRSS</t>
        </is>
      </c>
      <c r="E75" s="6" t="n">
        <v>1</v>
      </c>
      <c r="F75" s="6" t="n">
        <v>1</v>
      </c>
      <c r="G75" s="8" t="n">
        <v>0</v>
      </c>
      <c r="H75" s="8" t="inlineStr">
        <is>
          <t>OK</t>
        </is>
      </c>
    </row>
    <row r="76">
      <c r="A76" s="6" t="n">
        <v>61</v>
      </c>
      <c r="B76" s="5" t="inlineStr">
        <is>
          <t>MECHANICAL</t>
        </is>
      </c>
      <c r="C76" s="5" t="inlineStr">
        <is>
          <t>Helper Tech Associate Mech.</t>
        </is>
      </c>
      <c r="D76" s="5" t="inlineStr">
        <is>
          <t>ALS QRT</t>
        </is>
      </c>
      <c r="E76" s="6" t="n">
        <v>4</v>
      </c>
      <c r="F76" s="6" t="n">
        <v>4</v>
      </c>
      <c r="G76" s="8" t="n">
        <v>0</v>
      </c>
      <c r="H76" s="8" t="inlineStr">
        <is>
          <t>OK</t>
        </is>
      </c>
    </row>
    <row r="77">
      <c r="A77" s="6" t="n">
        <v>62</v>
      </c>
      <c r="B77" s="5" t="inlineStr">
        <is>
          <t>MECHANICAL</t>
        </is>
      </c>
      <c r="C77" s="5" t="inlineStr">
        <is>
          <t>Helper Tech Associate Mech.</t>
        </is>
      </c>
      <c r="D77" s="5" t="inlineStr">
        <is>
          <t>Utility</t>
        </is>
      </c>
      <c r="E77" s="6" t="n">
        <v>2</v>
      </c>
      <c r="F77" s="6" t="n">
        <v>2</v>
      </c>
      <c r="G77" s="8" t="n">
        <v>0</v>
      </c>
      <c r="H77" s="8" t="inlineStr">
        <is>
          <t>OK</t>
        </is>
      </c>
    </row>
    <row r="78">
      <c r="A78" s="6" t="n">
        <v>63</v>
      </c>
      <c r="B78" s="5" t="inlineStr">
        <is>
          <t>MECHANICAL</t>
        </is>
      </c>
      <c r="C78" s="5" t="inlineStr">
        <is>
          <t>Helper Utility building</t>
        </is>
      </c>
      <c r="D78" s="5" t="inlineStr">
        <is>
          <t>Airside</t>
        </is>
      </c>
      <c r="E78" s="6" t="n">
        <v>1</v>
      </c>
      <c r="F78" s="6" t="n">
        <v>1</v>
      </c>
      <c r="G78" s="8" t="n">
        <v>0</v>
      </c>
      <c r="H78" s="8" t="inlineStr">
        <is>
          <t>OK</t>
        </is>
      </c>
    </row>
    <row r="79">
      <c r="A79" s="6" t="n">
        <v>64</v>
      </c>
      <c r="B79" s="5" t="inlineStr">
        <is>
          <t>MECHANICAL</t>
        </is>
      </c>
      <c r="C79" s="5" t="inlineStr">
        <is>
          <t>Plumbing Technican</t>
        </is>
      </c>
      <c r="D79" s="5" t="inlineStr">
        <is>
          <t>ATC Pump House</t>
        </is>
      </c>
      <c r="E79" s="6" t="n">
        <v>2</v>
      </c>
      <c r="F79" s="6" t="n">
        <v>2</v>
      </c>
      <c r="G79" s="8" t="n">
        <v>0</v>
      </c>
      <c r="H79" s="8" t="inlineStr">
        <is>
          <t>OK</t>
        </is>
      </c>
    </row>
    <row r="80">
      <c r="A80" s="6" t="n">
        <v>65</v>
      </c>
      <c r="B80" s="5" t="inlineStr">
        <is>
          <t>MECHANICAL</t>
        </is>
      </c>
      <c r="C80" s="5" t="inlineStr">
        <is>
          <t>Plumbing Technican</t>
        </is>
      </c>
      <c r="D80" s="5" t="inlineStr">
        <is>
          <t>Admin</t>
        </is>
      </c>
      <c r="E80" s="6" t="n">
        <v>2</v>
      </c>
      <c r="F80" s="6" t="n">
        <v>2</v>
      </c>
      <c r="G80" s="8" t="n">
        <v>0</v>
      </c>
      <c r="H80" s="8" t="inlineStr">
        <is>
          <t>OK</t>
        </is>
      </c>
    </row>
    <row r="81">
      <c r="A81" s="6" t="n">
        <v>66</v>
      </c>
      <c r="B81" s="5" t="inlineStr">
        <is>
          <t>MECHANICAL</t>
        </is>
      </c>
      <c r="C81" s="5" t="inlineStr">
        <is>
          <t>Plumbing Technican</t>
        </is>
      </c>
      <c r="D81" s="5" t="inlineStr">
        <is>
          <t>CFR Pump House</t>
        </is>
      </c>
      <c r="E81" s="6" t="n">
        <v>2</v>
      </c>
      <c r="F81" s="6" t="n">
        <v>2</v>
      </c>
      <c r="G81" s="8" t="n">
        <v>0</v>
      </c>
      <c r="H81" s="8" t="inlineStr">
        <is>
          <t>OK</t>
        </is>
      </c>
    </row>
    <row r="82">
      <c r="A82" s="6" t="n">
        <v>67</v>
      </c>
      <c r="B82" s="5" t="inlineStr">
        <is>
          <t>MECHANICAL</t>
        </is>
      </c>
      <c r="C82" s="5" t="inlineStr">
        <is>
          <t>Plumbing Technican</t>
        </is>
      </c>
      <c r="D82" s="5" t="inlineStr">
        <is>
          <t>East Side</t>
        </is>
      </c>
      <c r="E82" s="6" t="n">
        <v>1</v>
      </c>
      <c r="F82" s="6" t="n">
        <v>1</v>
      </c>
      <c r="G82" s="8" t="n">
        <v>0</v>
      </c>
      <c r="H82" s="8" t="inlineStr">
        <is>
          <t>OK</t>
        </is>
      </c>
    </row>
    <row r="83">
      <c r="A83" s="6" t="n">
        <v>68</v>
      </c>
      <c r="B83" s="5" t="inlineStr">
        <is>
          <t>MECHANICAL</t>
        </is>
      </c>
      <c r="C83" s="5" t="inlineStr">
        <is>
          <t>Plumbing Technican</t>
        </is>
      </c>
      <c r="D83" s="5" t="inlineStr">
        <is>
          <t>PTB</t>
        </is>
      </c>
      <c r="E83" s="6" t="n">
        <v>1</v>
      </c>
      <c r="F83" s="6" t="n">
        <v>1</v>
      </c>
      <c r="G83" s="8" t="n">
        <v>0</v>
      </c>
      <c r="H83" s="8" t="inlineStr">
        <is>
          <t>OK</t>
        </is>
      </c>
    </row>
    <row r="84">
      <c r="A84" s="6" t="n">
        <v>69</v>
      </c>
      <c r="B84" s="5" t="inlineStr">
        <is>
          <t>MECHANICAL</t>
        </is>
      </c>
      <c r="C84" s="5" t="inlineStr">
        <is>
          <t>Plumbing Technican</t>
        </is>
      </c>
      <c r="D84" s="5" t="inlineStr">
        <is>
          <t>West Side</t>
        </is>
      </c>
      <c r="E84" s="6" t="n">
        <v>2</v>
      </c>
      <c r="F84" s="6" t="n">
        <v>2</v>
      </c>
      <c r="G84" s="8" t="n">
        <v>0</v>
      </c>
      <c r="H84" s="8" t="inlineStr">
        <is>
          <t>OK</t>
        </is>
      </c>
    </row>
    <row r="85">
      <c r="A85" s="6" t="n">
        <v>70</v>
      </c>
      <c r="B85" s="5" t="inlineStr">
        <is>
          <t>MECHANICAL</t>
        </is>
      </c>
      <c r="C85" s="5" t="inlineStr">
        <is>
          <t>Pump Operator</t>
        </is>
      </c>
      <c r="D85" s="5" t="inlineStr">
        <is>
          <t>Utility</t>
        </is>
      </c>
      <c r="E85" s="6" t="n">
        <v>1</v>
      </c>
      <c r="F85" s="6" t="n">
        <v>1</v>
      </c>
      <c r="G85" s="8" t="n">
        <v>0</v>
      </c>
      <c r="H85" s="8" t="inlineStr">
        <is>
          <t>OK</t>
        </is>
      </c>
    </row>
    <row r="86">
      <c r="A86" s="6" t="n">
        <v>71</v>
      </c>
      <c r="B86" s="5" t="inlineStr">
        <is>
          <t>MECHANICAL</t>
        </is>
      </c>
      <c r="C86" s="5" t="inlineStr">
        <is>
          <t>Shift Engineers</t>
        </is>
      </c>
      <c r="D86" s="5" t="inlineStr">
        <is>
          <t>Utility</t>
        </is>
      </c>
      <c r="E86" s="6" t="n">
        <v>1</v>
      </c>
      <c r="F86" s="6" t="n">
        <v>1</v>
      </c>
      <c r="G86" s="8" t="n">
        <v>0</v>
      </c>
      <c r="H86" s="8" t="inlineStr">
        <is>
          <t>OK</t>
        </is>
      </c>
    </row>
    <row r="87">
      <c r="A87" s="6" t="n">
        <v>72</v>
      </c>
      <c r="B87" s="5" t="inlineStr">
        <is>
          <t>MECHANICAL</t>
        </is>
      </c>
      <c r="C87" s="5" t="inlineStr">
        <is>
          <t>Technician-mech</t>
        </is>
      </c>
      <c r="D87" s="5" t="inlineStr">
        <is>
          <t>ATC</t>
        </is>
      </c>
      <c r="E87" s="6" t="n">
        <v>1</v>
      </c>
      <c r="F87" s="6" t="n">
        <v>1</v>
      </c>
      <c r="G87" s="8" t="n">
        <v>0</v>
      </c>
      <c r="H87" s="8" t="inlineStr">
        <is>
          <t>OK</t>
        </is>
      </c>
    </row>
    <row r="88">
      <c r="A88" s="6" t="n">
        <v>73</v>
      </c>
      <c r="B88" s="5" t="inlineStr">
        <is>
          <t>MECHANICAL</t>
        </is>
      </c>
      <c r="C88" s="5" t="inlineStr">
        <is>
          <t>Technician-mech</t>
        </is>
      </c>
      <c r="D88" s="5" t="inlineStr">
        <is>
          <t>PTB</t>
        </is>
      </c>
      <c r="E88" s="6" t="n">
        <v>3</v>
      </c>
      <c r="F88" s="6" t="n">
        <v>3</v>
      </c>
      <c r="G88" s="8" t="n">
        <v>0</v>
      </c>
      <c r="H88" s="8" t="inlineStr">
        <is>
          <t>OK</t>
        </is>
      </c>
    </row>
    <row r="89">
      <c r="A89" s="6" t="n">
        <v>74</v>
      </c>
      <c r="B89" s="5" t="inlineStr">
        <is>
          <t>MECHANICAL</t>
        </is>
      </c>
      <c r="C89" s="5" t="inlineStr">
        <is>
          <t>Technician-mech</t>
        </is>
      </c>
      <c r="D89" s="5" t="inlineStr">
        <is>
          <t>Utility</t>
        </is>
      </c>
      <c r="E89" s="6" t="n">
        <v>1</v>
      </c>
      <c r="F89" s="6" t="n">
        <v>1</v>
      </c>
      <c r="G89" s="8" t="n">
        <v>0</v>
      </c>
      <c r="H89" s="8" t="inlineStr">
        <is>
          <t>OK</t>
        </is>
      </c>
    </row>
    <row r="90">
      <c r="A90" s="6" t="n">
        <v>75</v>
      </c>
      <c r="B90" s="5" t="inlineStr">
        <is>
          <t>TRANSPORT</t>
        </is>
      </c>
      <c r="C90" s="5" t="inlineStr">
        <is>
          <t>Motor Electrician</t>
        </is>
      </c>
      <c r="D90" s="5" t="inlineStr">
        <is>
          <t>TRANSPORT</t>
        </is>
      </c>
      <c r="E90" s="6" t="n">
        <v>1</v>
      </c>
      <c r="F90" s="6" t="n">
        <v>1</v>
      </c>
      <c r="G90" s="8" t="n">
        <v>0</v>
      </c>
      <c r="H90" s="8" t="inlineStr">
        <is>
          <t>OK</t>
        </is>
      </c>
    </row>
    <row r="91">
      <c r="A91" s="6" t="n">
        <v>76</v>
      </c>
      <c r="B91" s="5" t="inlineStr">
        <is>
          <t>TRANSPORT</t>
        </is>
      </c>
      <c r="C91" s="5" t="inlineStr">
        <is>
          <t>Motor Technician</t>
        </is>
      </c>
      <c r="D91" s="5" t="inlineStr">
        <is>
          <t>TRANSPORT</t>
        </is>
      </c>
      <c r="E91" s="6" t="n">
        <v>1</v>
      </c>
      <c r="F91" s="6" t="n">
        <v>1</v>
      </c>
      <c r="G91" s="8" t="n">
        <v>0</v>
      </c>
      <c r="H91" s="8" t="inlineStr">
        <is>
          <t>OK</t>
        </is>
      </c>
    </row>
    <row r="92">
      <c r="A92" s="6" t="n">
        <v>77</v>
      </c>
      <c r="B92" s="5" t="inlineStr">
        <is>
          <t>TRANSPORT</t>
        </is>
      </c>
      <c r="C92" s="5" t="inlineStr">
        <is>
          <t>Road sweeper operator</t>
        </is>
      </c>
      <c r="D92" s="5" t="inlineStr">
        <is>
          <t>TRANSPORT</t>
        </is>
      </c>
      <c r="E92" s="6" t="n">
        <v>2</v>
      </c>
      <c r="F92" s="6" t="n">
        <v>2</v>
      </c>
      <c r="G92" s="8" t="n">
        <v>0</v>
      </c>
      <c r="H92" s="8" t="inlineStr">
        <is>
          <t>OK</t>
        </is>
      </c>
    </row>
    <row r="93">
      <c r="A93" s="6" t="n">
        <v>78</v>
      </c>
      <c r="B93" s="5" t="inlineStr">
        <is>
          <t>CIVIL</t>
        </is>
      </c>
      <c r="C93" s="5" t="inlineStr">
        <is>
          <t>Carpenter</t>
        </is>
      </c>
      <c r="D93" s="5" t="inlineStr">
        <is>
          <t>PTB</t>
        </is>
      </c>
      <c r="E93" s="6" t="n">
        <v>1</v>
      </c>
      <c r="F93" s="6" t="n">
        <v>1</v>
      </c>
      <c r="G93" s="8" t="n">
        <v>0</v>
      </c>
      <c r="H93" s="8" t="inlineStr">
        <is>
          <t>OK</t>
        </is>
      </c>
    </row>
    <row r="94">
      <c r="A94" s="6" t="n">
        <v>79</v>
      </c>
      <c r="B94" s="5" t="inlineStr">
        <is>
          <t>CIVIL</t>
        </is>
      </c>
      <c r="C94" s="5" t="inlineStr">
        <is>
          <t>Civil Fitter</t>
        </is>
      </c>
      <c r="D94" s="5" t="inlineStr">
        <is>
          <t>PTB</t>
        </is>
      </c>
      <c r="E94" s="6" t="n">
        <v>1</v>
      </c>
      <c r="F94" s="6" t="n">
        <v>1</v>
      </c>
      <c r="G94" s="8" t="n">
        <v>0</v>
      </c>
      <c r="H94" s="8" t="inlineStr">
        <is>
          <t>OK</t>
        </is>
      </c>
    </row>
    <row r="95">
      <c r="A95" s="6" t="n">
        <v>80</v>
      </c>
      <c r="B95" s="5" t="inlineStr">
        <is>
          <t>CIVIL</t>
        </is>
      </c>
      <c r="C95" s="5" t="inlineStr">
        <is>
          <t>Civil Helper</t>
        </is>
      </c>
      <c r="D95" s="5" t="inlineStr">
        <is>
          <t>Airside</t>
        </is>
      </c>
      <c r="E95" s="6" t="n">
        <v>2</v>
      </c>
      <c r="F95" s="6" t="n">
        <v>2</v>
      </c>
      <c r="G95" s="8" t="n">
        <v>0</v>
      </c>
      <c r="H95" s="8" t="inlineStr">
        <is>
          <t>OK</t>
        </is>
      </c>
    </row>
    <row r="96">
      <c r="A96" s="6" t="n">
        <v>81</v>
      </c>
      <c r="B96" s="5" t="inlineStr">
        <is>
          <t>CIVIL</t>
        </is>
      </c>
      <c r="C96" s="5" t="inlineStr">
        <is>
          <t>Engr</t>
        </is>
      </c>
      <c r="D96" s="5" t="inlineStr">
        <is>
          <t>PTB</t>
        </is>
      </c>
      <c r="E96" s="6" t="n">
        <v>2</v>
      </c>
      <c r="F96" s="6" t="n">
        <v>2</v>
      </c>
      <c r="G96" s="8" t="n">
        <v>0</v>
      </c>
      <c r="H96" s="8" t="inlineStr">
        <is>
          <t>OK</t>
        </is>
      </c>
    </row>
    <row r="97">
      <c r="A97" s="6" t="n">
        <v>82</v>
      </c>
      <c r="B97" s="5" t="inlineStr">
        <is>
          <t>CIVIL</t>
        </is>
      </c>
      <c r="C97" s="5" t="inlineStr">
        <is>
          <t>Supervisor Civil</t>
        </is>
      </c>
      <c r="D97" s="5" t="inlineStr">
        <is>
          <t>ALS</t>
        </is>
      </c>
      <c r="E97" s="6" t="n">
        <v>1</v>
      </c>
      <c r="F97" s="6" t="n">
        <v>1</v>
      </c>
      <c r="G97" s="8" t="n">
        <v>0</v>
      </c>
      <c r="H97" s="8" t="inlineStr">
        <is>
          <t>OK</t>
        </is>
      </c>
    </row>
    <row r="98">
      <c r="A98" s="6" t="n">
        <v>83</v>
      </c>
      <c r="B98" s="5" t="inlineStr">
        <is>
          <t>CIVIL</t>
        </is>
      </c>
      <c r="C98" s="5" t="inlineStr">
        <is>
          <t>Supervisor Civil</t>
        </is>
      </c>
      <c r="D98" s="5" t="inlineStr">
        <is>
          <t>PTB</t>
        </is>
      </c>
      <c r="E98" s="6" t="n">
        <v>1</v>
      </c>
      <c r="F98" s="6" t="n">
        <v>1</v>
      </c>
      <c r="G98" s="8" t="n">
        <v>0</v>
      </c>
      <c r="H98" s="8" t="inlineStr">
        <is>
          <t>OK</t>
        </is>
      </c>
    </row>
    <row r="99">
      <c r="A99" s="6" t="n">
        <v>84</v>
      </c>
      <c r="B99" s="5" t="inlineStr">
        <is>
          <t>CIVIL</t>
        </is>
      </c>
      <c r="C99" s="5" t="inlineStr">
        <is>
          <t>Welder</t>
        </is>
      </c>
      <c r="D99" s="5" t="inlineStr">
        <is>
          <t>PTB</t>
        </is>
      </c>
      <c r="E99" s="6" t="n">
        <v>1</v>
      </c>
      <c r="F99" s="6" t="n">
        <v>1</v>
      </c>
      <c r="G99" s="8" t="n">
        <v>0</v>
      </c>
      <c r="H99" s="8" t="inlineStr">
        <is>
          <t>OK</t>
        </is>
      </c>
    </row>
    <row r="100">
      <c r="A100" s="12" t="n"/>
      <c r="B100" s="12" t="inlineStr">
        <is>
          <t>TOTAL</t>
        </is>
      </c>
      <c r="C100" s="12" t="n"/>
      <c r="D100" s="12" t="n"/>
      <c r="E100" s="13" t="n">
        <v>172</v>
      </c>
      <c r="F100" s="13" t="n">
        <v>91</v>
      </c>
      <c r="G100" s="13" t="n">
        <v>81</v>
      </c>
      <c r="H100" s="12" t="n"/>
    </row>
    <row r="102">
      <c r="A102" s="3" t="inlineStr">
        <is>
          <t>C. CROSS-CHECK</t>
        </is>
      </c>
    </row>
    <row r="103">
      <c r="A103" s="46" t="inlineStr">
        <is>
          <t>Deployment172: Required 172 | Filled 91 | Vacant 81. Vacant Count = Required Count − Filled Count (always ≥ 0). Section A unchanged.</t>
        </is>
      </c>
    </row>
    <row r="104"/>
  </sheetData>
  <mergeCells count="3">
    <mergeCell ref="A103:H10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0" customWidth="1" min="3" max="3"/>
    <col width="12" customWidth="1" min="4" max="4"/>
    <col width="10" customWidth="1" min="5" max="5"/>
  </cols>
  <sheetData>
    <row r="1">
      <c r="A1" s="1" t="inlineStr">
        <is>
          <t>TEAM LEAD ACTION ITEMS &amp; PRIORITY HIRING</t>
        </is>
      </c>
    </row>
    <row r="3">
      <c r="A3" s="3" t="inlineStr">
        <is>
          <t>TOP 10 SHORTFALLS vs FULL PLAN 281</t>
        </is>
      </c>
    </row>
    <row r="4">
      <c r="A4" s="4" t="inlineStr">
        <is>
          <t>Rank</t>
        </is>
      </c>
      <c r="B4" s="4" t="inlineStr">
        <is>
          <t>Designation</t>
        </is>
      </c>
      <c r="C4" s="4" t="inlineStr">
        <is>
          <t>Required</t>
        </is>
      </c>
      <c r="D4" s="4" t="inlineStr">
        <is>
          <t>Filled</t>
        </is>
      </c>
      <c r="E4" s="4" t="inlineStr">
        <is>
          <t>Gap</t>
        </is>
      </c>
    </row>
    <row r="5">
      <c r="A5" s="25" t="n">
        <v>1</v>
      </c>
      <c r="B5" s="26" t="inlineStr">
        <is>
          <t>Runway Team</t>
        </is>
      </c>
      <c r="C5" s="25" t="n">
        <v>15</v>
      </c>
      <c r="D5" s="25" t="n">
        <v>2</v>
      </c>
      <c r="E5" s="27" t="n">
        <v>13</v>
      </c>
    </row>
    <row r="6">
      <c r="A6" s="25" t="n">
        <v>2</v>
      </c>
      <c r="B6" s="26" t="inlineStr">
        <is>
          <t>HVAC Technician Mechanical</t>
        </is>
      </c>
      <c r="C6" s="25" t="n">
        <v>21</v>
      </c>
      <c r="D6" s="25" t="n">
        <v>11</v>
      </c>
      <c r="E6" s="27" t="n">
        <v>10</v>
      </c>
    </row>
    <row r="7">
      <c r="A7" s="25" t="n">
        <v>3</v>
      </c>
      <c r="B7" s="26" t="inlineStr">
        <is>
          <t>Civil Helper</t>
        </is>
      </c>
      <c r="C7" s="25" t="n">
        <v>13</v>
      </c>
      <c r="D7" s="25" t="n">
        <v>5</v>
      </c>
      <c r="E7" s="27" t="n">
        <v>8</v>
      </c>
    </row>
    <row r="8">
      <c r="A8" s="25" t="n">
        <v>4</v>
      </c>
      <c r="B8" s="26" t="inlineStr">
        <is>
          <t>Pump Operator</t>
        </is>
      </c>
      <c r="C8" s="25" t="n">
        <v>9</v>
      </c>
      <c r="D8" s="25" t="n">
        <v>1</v>
      </c>
      <c r="E8" s="27" t="n">
        <v>8</v>
      </c>
    </row>
    <row r="9">
      <c r="A9" s="25" t="n">
        <v>5</v>
      </c>
      <c r="B9" s="26" t="inlineStr">
        <is>
          <t>Shift Engineer (Electrical)</t>
        </is>
      </c>
      <c r="C9" s="25" t="n">
        <v>8</v>
      </c>
      <c r="D9" s="25" t="n">
        <v>1</v>
      </c>
      <c r="E9" s="27" t="n">
        <v>7</v>
      </c>
    </row>
    <row r="10">
      <c r="A10" s="25" t="n">
        <v>6</v>
      </c>
      <c r="B10" s="26" t="inlineStr">
        <is>
          <t>Sewerman &amp; Drainage</t>
        </is>
      </c>
      <c r="C10" s="25" t="n">
        <v>6</v>
      </c>
      <c r="D10" s="25" t="n">
        <v>0</v>
      </c>
      <c r="E10" s="27" t="n">
        <v>6</v>
      </c>
    </row>
    <row r="11">
      <c r="A11" s="25" t="n">
        <v>7</v>
      </c>
      <c r="B11" s="26" t="inlineStr">
        <is>
          <t>Sr. Technician Ops</t>
        </is>
      </c>
      <c r="C11" s="25" t="n">
        <v>11</v>
      </c>
      <c r="D11" s="25" t="n">
        <v>6</v>
      </c>
      <c r="E11" s="27" t="n">
        <v>5</v>
      </c>
    </row>
    <row r="12">
      <c r="A12" s="25" t="n">
        <v>8</v>
      </c>
      <c r="B12" s="26" t="inlineStr">
        <is>
          <t>Desk Engineer (SCADA)</t>
        </is>
      </c>
      <c r="C12" s="25" t="n">
        <v>4</v>
      </c>
      <c r="D12" s="25" t="n">
        <v>0</v>
      </c>
      <c r="E12" s="28" t="n">
        <v>4</v>
      </c>
    </row>
    <row r="13">
      <c r="A13" s="25" t="n">
        <v>9</v>
      </c>
      <c r="B13" s="26" t="inlineStr">
        <is>
          <t>MST</t>
        </is>
      </c>
      <c r="C13" s="25" t="n">
        <v>4</v>
      </c>
      <c r="D13" s="25" t="n">
        <v>0</v>
      </c>
      <c r="E13" s="28" t="n">
        <v>4</v>
      </c>
    </row>
    <row r="14">
      <c r="A14" s="25" t="n">
        <v>10</v>
      </c>
      <c r="B14" s="26" t="inlineStr">
        <is>
          <t>Supervisor Civil</t>
        </is>
      </c>
      <c r="C14" s="25" t="n">
        <v>7</v>
      </c>
      <c r="D14" s="25" t="n">
        <v>3</v>
      </c>
      <c r="E14" s="28" t="n">
        <v>4</v>
      </c>
    </row>
    <row r="16">
      <c r="A16" s="3" t="inlineStr">
        <is>
          <t>RECOMMENDED ACTIONS</t>
        </is>
      </c>
    </row>
    <row r="17">
      <c r="A17" s="4" t="inlineStr">
        <is>
          <t>Priority</t>
        </is>
      </c>
      <c r="B17" s="4" t="inlineStr">
        <is>
          <t>Action</t>
        </is>
      </c>
      <c r="C17" s="4" t="inlineStr">
        <is>
          <t>Detail</t>
        </is>
      </c>
    </row>
    <row r="18" ht="35" customHeight="1">
      <c r="A18" s="29" t="inlineStr">
        <is>
          <t>P0</t>
        </is>
      </c>
      <c r="B18" s="18" t="inlineStr">
        <is>
          <t>Close Phase-1 ELV/SCADA (0/10)</t>
        </is>
      </c>
      <c r="C18" s="18" t="inlineStr">
        <is>
          <t>No ELV names on roster — block go-live risk. Raise urgent hiring for 1 Engineer + 3 Supervisors + 6 Floor Technicians.</t>
        </is>
      </c>
    </row>
    <row r="19" ht="35" customHeight="1">
      <c r="A19" s="29" t="inlineStr">
        <is>
          <t>P0</t>
        </is>
      </c>
      <c r="B19" s="18" t="inlineStr">
        <is>
          <t>Fill Admin leadership gaps</t>
        </is>
      </c>
      <c r="C19" s="18" t="inlineStr">
        <is>
          <t>Still open: Sr. Manager Mech/Elec/Civil, HSE &amp; Compliance, Materials Manager (5 of 8 Admin).</t>
        </is>
      </c>
    </row>
    <row r="20" ht="35" customHeight="1">
      <c r="A20" s="30" t="inlineStr">
        <is>
          <t>P1</t>
        </is>
      </c>
      <c r="B20" s="18" t="inlineStr">
        <is>
          <t>Complete Phase-1 Mechanical vacancies</t>
        </is>
      </c>
      <c r="C20" s="18" t="inlineStr">
        <is>
          <t>Largest vacant block in 172 roster (~45). Prioritize Pump Operators, Sewerman, STP/WTP, HVAC Sr Techs, Shift Engineers.</t>
        </is>
      </c>
    </row>
    <row r="21" ht="35" customHeight="1">
      <c r="A21" s="30" t="inlineStr">
        <is>
          <t>P1</t>
        </is>
      </c>
      <c r="B21" s="18" t="inlineStr">
        <is>
          <t>Electrical Shift Engineers &amp; MST</t>
        </is>
      </c>
      <c r="C21" s="18" t="inlineStr">
        <is>
          <t>Against 281: Shift Eng Elec gap 7, MST gap 4. Against 172: several Shift Eng / MST / Admin ELE-Ops still vacant.</t>
        </is>
      </c>
    </row>
    <row r="22" ht="35" customHeight="1">
      <c r="A22" s="30" t="inlineStr">
        <is>
          <t>P1</t>
        </is>
      </c>
      <c r="B22" s="18" t="inlineStr">
        <is>
          <t>Confirm Fire &amp; Landside out of Ph-1</t>
        </is>
      </c>
      <c r="C22" s="18" t="inlineStr">
        <is>
          <t>Fire (17) and Landside (11) are in 281 but not in 172 — get TL/client written confirmation they are deferred.</t>
        </is>
      </c>
    </row>
    <row r="23" ht="35" customHeight="1">
      <c r="A23" s="31" t="inlineStr">
        <is>
          <t>P2</t>
        </is>
      </c>
      <c r="B23" s="18" t="inlineStr">
        <is>
          <t>Runway Team pipeline for later phase</t>
        </is>
      </c>
      <c r="C23" s="18" t="inlineStr">
        <is>
          <t>Biggest 281 gap (−13). Do not pull focus from Ph-1 172 unless client escalates runway readiness.</t>
        </is>
      </c>
    </row>
    <row r="24" ht="35" customHeight="1">
      <c r="A24" s="31" t="inlineStr">
        <is>
          <t>P2</t>
        </is>
      </c>
      <c r="B24" s="18" t="inlineStr">
        <is>
          <t>Clean surplus designations</t>
        </is>
      </c>
      <c r="C24" s="18" t="inlineStr">
        <is>
          <t>Boom Lift Operator (3), generic Technician (3), Sr Electrician OPS (1) are filled but not in 281 required list — remap or justify.</t>
        </is>
      </c>
    </row>
    <row r="25" ht="35" customHeight="1">
      <c r="A25" s="31" t="inlineStr">
        <is>
          <t>P2</t>
        </is>
      </c>
      <c r="B25" s="18" t="inlineStr">
        <is>
          <t>Keep dual tracking</t>
        </is>
      </c>
      <c r="C25" s="18" t="inlineStr">
        <is>
          <t>Track (a) 172 Phase-1 fill % weekly and (b) 281 full-plan gap separately so numbers are not mixed in client updates.</t>
        </is>
      </c>
    </row>
    <row r="28">
      <c r="A28" s="3" t="inlineStr">
        <is>
          <t>STATUS SUMMARY LINES YOU CAN PASTE TO TL</t>
        </is>
      </c>
    </row>
    <row r="29">
      <c r="A29" s="32" t="inlineStr">
        <is>
          <t>• Full Plan: 281 required | 159 available (141 deployed + 18 will join) | Gap 122 (43%).</t>
        </is>
      </c>
      <c r="B29" s="42" t="n"/>
      <c r="C29" s="43" t="n"/>
    </row>
    <row r="30">
      <c r="A30" s="32" t="inlineStr">
        <is>
          <t>• Phase-1 Immediate: 172 required | 91 named on roster (53%) | 81 vacant (47%).</t>
        </is>
      </c>
      <c r="B30" s="42" t="n"/>
      <c r="C30" s="43" t="n"/>
    </row>
    <row r="31">
      <c r="A31" s="32" t="inlineStr">
        <is>
          <t>• Deferred beyond Phase-1: 109 positions.</t>
        </is>
      </c>
      <c r="B31" s="42" t="n"/>
      <c r="C31" s="43" t="n"/>
    </row>
    <row r="32">
      <c r="A32" s="32" t="inlineStr">
        <is>
          <t>• Critical open: ELV/SCADA 10/10 vacant; Admin leadership 5 open; Mechanical largest vacant volume.</t>
        </is>
      </c>
      <c r="B32" s="42" t="n"/>
      <c r="C32" s="43" t="n"/>
    </row>
    <row r="33">
      <c r="A33" s="32" t="inlineStr">
        <is>
          <t>• Top 281 gaps: Runway Team 13, HVAC Tech 10, Civil Helper 8, Pump Operator 8, Elec Shift Eng 7.</t>
        </is>
      </c>
      <c r="B33" s="42" t="n"/>
      <c r="C33" s="43" t="n"/>
    </row>
  </sheetData>
  <mergeCells count="6">
    <mergeCell ref="A33:C33"/>
    <mergeCell ref="A32:C32"/>
    <mergeCell ref="A31:C31"/>
    <mergeCell ref="A1:E1"/>
    <mergeCell ref="A30:C30"/>
    <mergeCell ref="A29:C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DATA SOURCES &amp; METHOD</t>
        </is>
      </c>
    </row>
    <row r="3">
      <c r="A3" s="3" t="inlineStr">
        <is>
          <t>Files used</t>
        </is>
      </c>
    </row>
    <row r="4">
      <c r="A4" s="4" t="inlineStr">
        <is>
          <t>File</t>
        </is>
      </c>
      <c r="B4" s="4" t="inlineStr">
        <is>
          <t>Role</t>
        </is>
      </c>
    </row>
    <row r="5">
      <c r="A5" s="21" t="inlineStr">
        <is>
          <t>GMR_SUMMARY_MANPOWERSHEET.xlsx</t>
        </is>
      </c>
      <c r="B5" s="21" t="inlineStr">
        <is>
          <t>Primary analysis workbook (DailySheet, DesignationSummary, Plan281, Deployment172, plan172, Summary172)</t>
        </is>
      </c>
    </row>
    <row r="6">
      <c r="A6" s="21" t="inlineStr">
        <is>
          <t>Phase-1 VOX Technical Deployment.xlsx</t>
        </is>
      </c>
      <c r="B6" s="21" t="inlineStr">
        <is>
          <t>Original client Ph-1 details (172) and CLR quotation (281)</t>
        </is>
      </c>
    </row>
    <row r="7">
      <c r="A7" s="21" t="inlineStr">
        <is>
          <t>GMR.xlsx</t>
        </is>
      </c>
      <c r="B7" s="21" t="inlineStr">
        <is>
          <t>Earlier site duty roster (source manpower names)</t>
        </is>
      </c>
    </row>
    <row r="8">
      <c r="A8" s="21" t="inlineStr">
        <is>
          <t>Phase-1_172_Manpower_Base_Roster.xlsx</t>
        </is>
      </c>
      <c r="B8" s="21" t="inlineStr">
        <is>
          <t>Earlier generated 172 base roster template</t>
        </is>
      </c>
    </row>
    <row r="10">
      <c r="A10" s="3" t="inlineStr">
        <is>
          <t>Definitions</t>
        </is>
      </c>
    </row>
    <row r="11">
      <c r="A11" s="4" t="inlineStr">
        <is>
          <t>Term</t>
        </is>
      </c>
      <c r="B11" s="4" t="inlineStr">
        <is>
          <t>Meaning</t>
        </is>
      </c>
    </row>
    <row r="12">
      <c r="A12" s="21" t="inlineStr">
        <is>
          <t>Required 281</t>
        </is>
      </c>
      <c r="B12" s="21" t="inlineStr">
        <is>
          <t>Total manpower in CLR quotation / Plan281 sheet</t>
        </is>
      </c>
    </row>
    <row r="13">
      <c r="A13" s="21" t="inlineStr">
        <is>
          <t>Required 172</t>
        </is>
      </c>
      <c r="B13" s="21" t="inlineStr">
        <is>
          <t>Immediate Phase-1 proposal (Admin8+Civil9+ELV10+Elec46+Mech89+TMT10)</t>
        </is>
      </c>
    </row>
    <row r="14">
      <c r="A14" s="21" t="inlineStr">
        <is>
          <t>Filled Now (159)</t>
        </is>
      </c>
      <c r="B14" s="21" t="inlineStr">
        <is>
          <t>Count of people listed in DailySheet / DesignationSummary Filled Count</t>
        </is>
      </c>
    </row>
    <row r="15">
      <c r="A15" s="21" t="inlineStr">
        <is>
          <t>Deployed (141)</t>
        </is>
      </c>
      <c r="B15" s="21" t="inlineStr">
        <is>
          <t>DailySheet remarks contain Deployed At Site</t>
        </is>
      </c>
    </row>
    <row r="16">
      <c r="A16" s="21" t="inlineStr">
        <is>
          <t>Will Join (18)</t>
        </is>
      </c>
      <c r="B16" s="21" t="inlineStr">
        <is>
          <t>DailySheet remarks contain Will join</t>
        </is>
      </c>
    </row>
    <row r="17">
      <c r="A17" s="21" t="inlineStr">
        <is>
          <t>Phase-1 Named (91)</t>
        </is>
      </c>
      <c r="B17" s="21" t="inlineStr">
        <is>
          <t>Deployment172 rows that have a Name filled</t>
        </is>
      </c>
    </row>
    <row r="18">
      <c r="A18" s="21" t="inlineStr">
        <is>
          <t>Phase-1 Vacant (81)</t>
        </is>
      </c>
      <c r="B18" s="21" t="inlineStr">
        <is>
          <t>Deployment172 rows with Designation but empty Name</t>
        </is>
      </c>
    </row>
    <row r="19">
      <c r="A19" s="21" t="inlineStr">
        <is>
          <t>Gap vs 281 (122)</t>
        </is>
      </c>
      <c r="B19" s="21" t="inlineStr">
        <is>
          <t>281 − 159</t>
        </is>
      </c>
    </row>
    <row r="20">
      <c r="A20" s="21" t="inlineStr">
        <is>
          <t>Deferred (109)</t>
        </is>
      </c>
      <c r="B20" s="21" t="inlineStr">
        <is>
          <t>281 − 172</t>
        </is>
      </c>
    </row>
    <row r="23">
      <c r="A23" s="33" t="inlineStr">
        <is>
          <t>Note: Team mapping on Sheet 1 uses designation→team mapping from Plan281 structure. Surplus designations without a 281 required count (Boom Lift Operator, Technician, Sr Electrician OPS) are listed on Sheet 3 as SURPLUS.</t>
        </is>
      </c>
    </row>
    <row r="24"/>
    <row r="25"/>
  </sheetData>
  <mergeCells count="1">
    <mergeCell ref="A23:B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2026-07-11T11:12:37Z</dcterms:created>
  <dcterms:modified xsi:type="dcterms:W3CDTF">2026-07-11T11:53:15Z</dcterms:modified>
</cp:coreProperties>
</file>